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emf" ContentType="image/x-emf"/>
  <Default Extension="wmz" ContentType="image/x-wmz"/>
  <Default Extension="bmp" ContentType="image/bmp"/>
  <Default Extension="jpeg" ContentType="image/jpeg"/>
  <Default Extension="gif" ContentType="image/gif"/>
  <Default Extension="emz" ContentType="image/x-emz"/>
  <Default Extension="png" ContentType="image/png"/>
  <Default Extension="tiff" ContentType="image/tiff"/>
  <Default Extension="wmf" ContentType="image/x-wmf"/>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activeTab="1"/>
  </bookViews>
  <sheets>
    <sheet name="Summary" sheetId="3" r:id="rId3" state="visible"/>
    <sheet name="Income" sheetId="1" r:id="rId1" state="visible"/>
    <sheet name="Shipping Fee Discrepancy" sheetId="2" r:id="rId2" state="visible"/>
    <sheet name="Seller Fee" sheetId="4" r:id="rId4" state="visible"/>
  </sheets>
  <definedNames/>
  <calcPr iterateCount="100" iterateDelta="0.001" refMode="A1"/>
</workbook>
</file>

<file path=xl/sharedStrings.xml><?xml version="1.0" encoding="utf-8"?>
<sst xmlns="http://schemas.openxmlformats.org/spreadsheetml/2006/main" count="139" uniqueCount="139">
  <si>
    <t>Username (Penjual)</t>
  </si>
  <si>
    <t>Dari</t>
  </si>
  <si>
    <t>ke</t>
  </si>
  <si>
    <t>dewinstsneakers</t>
  </si>
  <si>
    <t>2026-06-01</t>
  </si>
  <si>
    <t>2026-06-03</t>
  </si>
  <si>
    <t>total(Rp)</t>
  </si>
  <si>
    <t>No.</t>
  </si>
  <si>
    <t>No. Pesanan</t>
  </si>
  <si>
    <t>No. Pengajuan</t>
  </si>
  <si>
    <t>Username (Pembeli)</t>
  </si>
  <si>
    <t>Waktu Pesanan Dibuat</t>
  </si>
  <si>
    <t>Metode pembayaran pembeli</t>
  </si>
  <si>
    <t>Tanggal Dana Dilepaskan</t>
  </si>
  <si>
    <t>Harga Asli Produk</t>
  </si>
  <si>
    <t>Total Diskon Produk</t>
  </si>
  <si>
    <t>Jumlah Pengembalian Dana ke Pembeli</t>
  </si>
  <si>
    <t>Diskon Produk dari Shopee</t>
  </si>
  <si>
    <t>Voucher disponsor oleh Penjual</t>
  </si>
  <si>
    <t>Voucher co-fund disponsor oleh Penjual</t>
  </si>
  <si>
    <t>Cashback Koin disponsori Penjual</t>
  </si>
  <si>
    <t>Cashback Koin Co-fund disponsori Penjual</t>
  </si>
  <si>
    <t>Ongkir Dibayar Pembeli</t>
  </si>
  <si>
    <t>Diskon Ongkir Ditanggung Jasa Kirim</t>
  </si>
  <si>
    <t>Gratis Ongkir dari Shopee</t>
  </si>
  <si>
    <t>Ongkir yang Diteruskan oleh Shopee ke Jasa Kirim</t>
  </si>
  <si>
    <t>Ongkos Kirim Pengembalian Barang</t>
  </si>
  <si>
    <t>Kembali ke Biaya Pengiriman Pengirim</t>
  </si>
  <si>
    <t>Pengembalian Biaya Kirim</t>
  </si>
  <si>
    <t>Biaya Komisi AMS</t>
  </si>
  <si>
    <t>Biaya Administrasi</t>
  </si>
  <si>
    <t>Biaya Layanan</t>
  </si>
  <si>
    <t>Biaya Proses Pesanan</t>
  </si>
  <si>
    <t>Premi</t>
  </si>
  <si>
    <t>Biaya Program Hemat Biaya Kirim</t>
  </si>
  <si>
    <t>Biaya Transaksi</t>
  </si>
  <si>
    <t>Biaya Kampanye</t>
  </si>
  <si>
    <t>Bea Masuk, PPN &amp; PPh</t>
  </si>
  <si>
    <t>Biaya Isi Saldo Otomatis (dari Penghasilan)</t>
  </si>
  <si>
    <t>Total Penghasilan</t>
  </si>
  <si>
    <t>Kode Voucher</t>
  </si>
  <si>
    <t>Kompensasi</t>
  </si>
  <si>
    <t>Promo Gratis Ongkir dari Penjual</t>
  </si>
  <si>
    <t>Jasa Kirim</t>
  </si>
  <si>
    <t>Nama Kurir</t>
  </si>
  <si>
    <t>Pengembalian Dana ke Pembeli</t>
  </si>
  <si>
    <t>Pro-rata Koin yang Ditukarkan untuk Pengembalian Barang</t>
  </si>
  <si>
    <t>Pro-rata Voucher Shopee untuk Pengembalian Barang</t>
  </si>
  <si>
    <t>Pro-rated Bank Payment Channel Promotion for return refund Items</t>
  </si>
  <si>
    <t>Pro-rated Shopee Payment Channel Promotion  for return refund Items</t>
  </si>
  <si>
    <t>260530QS286RNK</t>
  </si>
  <si>
    <t>dendiiii.</t>
  </si>
  <si>
    <t>2026-05-30</t>
  </si>
  <si>
    <t>Kartu Kredit/Debit</t>
  </si>
  <si>
    <t>DEWI35RB</t>
  </si>
  <si>
    <t>Reguler</t>
  </si>
  <si>
    <t>JNE Reguler</t>
  </si>
  <si>
    <t>260527GYMVW2NS</t>
  </si>
  <si>
    <t>hofs.shoes</t>
  </si>
  <si>
    <t>2026-05-27</t>
  </si>
  <si>
    <t>Saldo ShopeePay</t>
  </si>
  <si>
    <t>SPX Standard</t>
  </si>
  <si>
    <t>260527H1FRDB5B</t>
  </si>
  <si>
    <t>hidayatpamungkas20</t>
  </si>
  <si>
    <t>SPayLater</t>
  </si>
  <si>
    <t>2026-06-02</t>
  </si>
  <si>
    <t>260525BD5SE3GT</t>
  </si>
  <si>
    <t>lutfinaelaizati</t>
  </si>
  <si>
    <t>2026-05-25</t>
  </si>
  <si>
    <t>Online Payment</t>
  </si>
  <si>
    <t>260526DQ51PNAQ</t>
  </si>
  <si>
    <t>nurlaelaa0011</t>
  </si>
  <si>
    <t>2026-05-26</t>
  </si>
  <si>
    <t>260526EJHP0SHK</t>
  </si>
  <si>
    <t>stella20296</t>
  </si>
  <si>
    <t>260528KEC40WNT</t>
  </si>
  <si>
    <t>citrawisdayani</t>
  </si>
  <si>
    <t>2026-05-28</t>
  </si>
  <si>
    <t>2605211NP89GVQ</t>
  </si>
  <si>
    <t>popymarlinda</t>
  </si>
  <si>
    <t>2026-05-21</t>
  </si>
  <si>
    <t>2605247CK1H165</t>
  </si>
  <si>
    <t>_3lhaocgvs</t>
  </si>
  <si>
    <t>2026-05-23</t>
  </si>
  <si>
    <t>260526EJV8JSS7</t>
  </si>
  <si>
    <t>fajrisyafiah</t>
  </si>
  <si>
    <t>260526E73DE825</t>
  </si>
  <si>
    <t>noveharyanti</t>
  </si>
  <si>
    <t>260525C2RSCRGW</t>
  </si>
  <si>
    <t>bytarisya</t>
  </si>
  <si>
    <t>QRIS</t>
  </si>
  <si>
    <t>260527G4JRA4RW</t>
  </si>
  <si>
    <t>rafiputrakelana</t>
  </si>
  <si>
    <t>260527GP30F82K</t>
  </si>
  <si>
    <t>7vxsn51t0t</t>
  </si>
  <si>
    <t>260529N7GEY8U2</t>
  </si>
  <si>
    <t>qorinaismi12345</t>
  </si>
  <si>
    <t>2026-05-29</t>
  </si>
  <si>
    <t>260527GDVN6M42</t>
  </si>
  <si>
    <t>hellenvirgin</t>
  </si>
  <si>
    <t>Catatan: 
1) Sheet ini menunjukkan pesanan dengan Ongkos Kirim yang Dibayarkan ke Jasa Kirim lebih tinggi dari estimasi.
2) Estimasi Ongkos Kirim dihitung setelah checkout dengan mempertimbangkan beberapa aspek seperti berat produk, dan alamat pengiriman.
3) Ongkos Kirim Sebenarnya adalah sejumlah biaya yang dibayar oleh pihak jasa kirim.
4) Penjual dianjurkan untuk mengubah berat produk dan/atau alamat penjemputan jika alasan perbedaan disebabkan oleh perbedaan berat atau alamat.</t>
  </si>
  <si>
    <t>Estimasi Ongkos Kirim:</t>
  </si>
  <si>
    <t>Ongkos Kirim yang Dibayarkan ke Jasa Kirim:</t>
  </si>
  <si>
    <t>Discrepancy reason</t>
  </si>
  <si>
    <t>Alasan: Penjual mengubah alamat penjemputan atau drop off.</t>
  </si>
  <si>
    <t>Laporan Penghasilan</t>
  </si>
  <si>
    <t>Rincian Laporan</t>
  </si>
  <si>
    <t>Ringkasan Penghasilan</t>
  </si>
  <si>
    <t>Rp</t>
  </si>
  <si>
    <t>1. Total Pendapatan</t>
  </si>
  <si>
    <t>Subtotal Pesanan</t>
  </si>
  <si>
    <t>Voucher &amp; Subsidi Shopee</t>
  </si>
  <si>
    <t>2. Total Pengeluaran</t>
  </si>
  <si>
    <t>Total Biaya Pengiriman</t>
  </si>
  <si>
    <t>Biaya Admin &amp; Layanan</t>
  </si>
  <si>
    <t>3. Total yang Dilepas</t>
  </si>
  <si>
    <t>Nilai Lainnya</t>
  </si>
  <si>
    <t>ID Produk</t>
  </si>
  <si>
    <t>Nama Produk</t>
  </si>
  <si>
    <t>Biaya Layanan Gratis Ongkir XTRA - Ukuran Biasa (Kategori F)</t>
  </si>
  <si>
    <t>Biaya Layanan Gratis Ongkir XTRA - Ukuran Biasa (Kategori H)</t>
  </si>
  <si>
    <t>Biaya Layanan Promo XTRA</t>
  </si>
  <si>
    <t>Biaya Layanan Shopee Live XTRA</t>
  </si>
  <si>
    <t>Order</t>
  </si>
  <si>
    <t>-</t>
  </si>
  <si>
    <t>Sku</t>
  </si>
  <si>
    <t>Adidas Samba Mary Jane Leather Black Womens</t>
  </si>
  <si>
    <t>Adidas Samba Mary Jane Leather Brown Womens</t>
  </si>
  <si>
    <t>Adidas Samba OG Maroon Off White Gum Womens</t>
  </si>
  <si>
    <t>Dewinstsneakers | P-6000 Grey Fog Metallic Cool Grey Womens</t>
  </si>
  <si>
    <t>Adidas Adizero Evo SL Core Black Silver Metallic Reflective</t>
  </si>
  <si>
    <t>Dewinstsneakers | Adidas Adizero Evo SL Black White</t>
  </si>
  <si>
    <t>Dewinstsneakers | Puma Speedcat Ballet Lace Ruby Shimmer Ivory Womens</t>
  </si>
  <si>
    <t>Dewinstsneakers | Adidas Samba OG Maroon Burgundy</t>
  </si>
  <si>
    <t>P-6000 Suede Anthracite Metallic Silver</t>
  </si>
  <si>
    <t>Dewinstsneakers | Puma Speedcat Ballet Lace Frosted Ivory Ruby Shimmer</t>
  </si>
  <si>
    <t>Dewinstsneakers | Puma Speedcat Ballet Dark Chocolate Womens</t>
  </si>
  <si>
    <t>New Balance 327 Sea Salt White Wine Womens</t>
  </si>
  <si>
    <t>Puma Speedcat OG White Pink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</si>
</sst>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name val="Arial"/>
      <family val="0"/>
      <charset val="0"/>
    </font>
    <font>
      <sz val="10"/>
      <color rgb="FF000000"/>
      <name val="Arial"/>
      <family val="0"/>
      <charset val="134"/>
    </font>
    <font>
      <b val="1"/>
      <sz val="10"/>
      <color rgb="FF000000"/>
      <name val="Calibri"/>
      <family val="0"/>
      <charset val="134"/>
    </font>
    <font>
      <sz val="10"/>
      <color rgb="FF000000"/>
      <name val="Calibri"/>
      <family val="0"/>
      <charset val="134"/>
    </font>
    <font>
      <sz val="12"/>
      <color rgb="FF000000"/>
      <name val="Arial"/>
      <family val="0"/>
      <charset val="134"/>
    </font>
    <font>
      <b val="1"/>
      <sz val="15"/>
      <color rgb="FF000000"/>
      <name val="Arial"/>
      <family val="0"/>
      <charset val="134"/>
    </font>
    <font>
      <b val="1"/>
      <sz val="14"/>
      <color rgb="FF000000"/>
      <name val="Arial"/>
      <family val="0"/>
      <charset val="134"/>
    </font>
    <font>
      <sz val="14"/>
      <color rgb="FF000000"/>
      <name val="Arial"/>
      <family val="0"/>
      <charset val="134"/>
    </font>
    <font>
      <b val="1"/>
      <sz val="10"/>
      <color rgb="FFFF0000"/>
      <name val="Arial"/>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sz val="12"/>
      <color rgb="FF000000"/>
      <name val="Calibri"/>
      <family val="0"/>
      <charset val="134"/>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3">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s>
  <cellXfs count="23">
    <xf numFmtId="0" fontId="0" fillId="0" borderId="0" applyNumberFormat="false" applyFont="false" applyFill="false" applyBorder="false" applyAlignment="false" applyProtection="false">
      <alignment horizontal="general" vertical="bottom"/>
    </xf>
    <xf numFmtId="0" fontId="0" fillId="0" borderId="0" applyNumberFormat="false" applyFont="false" applyFill="false" applyBorder="false" applyAlignment="false" applyProtection="false">
      <alignment horizontal="general" vertical="bottom"/>
    </xf>
    <xf numFmtId="0" fontId="1" fillId="0" borderId="1" xfId="0" applyNumberFormat="false" applyFont="true" applyFill="false" applyBorder="false" applyAlignment="false" applyProtection="false">
      <alignment horizontal="general" vertical="bottom"/>
    </xf>
    <xf numFmtId="0" fontId="1" fillId="0" borderId="1" xfId="0" applyNumberFormat="false" applyFont="true" applyFill="false" applyBorder="false" applyAlignment="true" applyProtection="false">
      <alignment horizontal="left" vertical="bottom"/>
    </xf>
    <xf numFmtId="0" fontId="1" fillId="0" borderId="1" xfId="0" applyNumberFormat="false" applyFont="true" applyFill="false" applyBorder="false" applyAlignment="true" applyProtection="false">
      <alignment horizontal="general" vertical="center"/>
    </xf>
    <xf numFmtId="0" fontId="2" fillId="2" borderId="1" xfId="0" applyNumberFormat="false" applyFont="true" applyFill="true" applyBorder="false" applyAlignment="false" applyProtection="false">
      <alignment horizontal="general" vertical="bottom"/>
    </xf>
    <xf numFmtId="0" fontId="3" fillId="0" borderId="1" xfId="0" applyNumberFormat="false" applyFont="true" applyFill="false" applyBorder="false" applyAlignment="false" applyProtection="false">
      <alignment horizontal="general" vertical="bottom"/>
    </xf>
    <xf numFmtId="0" fontId="4" fillId="0" borderId="1" xfId="0" applyNumberFormat="false" applyFont="true" applyFill="false" applyBorder="false" applyAlignment="false" applyProtection="false">
      <alignment horizontal="general" vertical="bottom"/>
    </xf>
    <xf numFmtId="0" fontId="5" fillId="0" borderId="2" xfId="0" applyNumberFormat="false" applyFont="true" applyFill="false" applyBorder="true" applyAlignment="true" applyProtection="false">
      <alignment horizontal="right" vertical="center" wrapText="true"/>
    </xf>
    <xf numFmtId="0" fontId="6" fillId="0" borderId="2" xfId="0" applyNumberFormat="false" applyFont="true" applyFill="false" applyBorder="true" applyAlignment="true" applyProtection="false">
      <alignment horizontal="right" vertical="center" wrapText="true"/>
    </xf>
    <xf numFmtId="0" fontId="7" fillId="2" borderId="2" xfId="0" applyNumberFormat="false" applyFont="true" applyFill="true" applyBorder="true" applyAlignment="true" applyProtection="false">
      <alignment horizontal="general" vertical="bottom" wrapText="true"/>
    </xf>
    <xf numFmtId="0" fontId="1" fillId="3" borderId="2" xfId="0" applyNumberFormat="false" applyFont="true" applyFill="true" applyBorder="true" applyAlignment="true" applyProtection="false">
      <alignment horizontal="general" vertical="bottom" wrapText="true"/>
    </xf>
    <xf numFmtId="0" fontId="1" fillId="0" borderId="2" xfId="0" applyNumberFormat="false" applyFont="true" applyFill="false" applyBorder="true" applyAlignment="true" applyProtection="false">
      <alignment horizontal="general" vertical="bottom" wrapText="true"/>
    </xf>
    <xf numFmtId="0" fontId="8" fillId="0" borderId="2" xfId="0" applyNumberFormat="false" applyFont="true" applyFill="false" applyBorder="true" applyAlignment="false" applyProtection="false">
      <alignment horizontal="general" vertical="bottom"/>
    </xf>
    <xf numFmtId="0" fontId="3" fillId="0" borderId="2" xfId="0" applyNumberFormat="false" applyFont="true" applyFill="false" applyBorder="true" applyAlignment="true" applyProtection="false">
      <alignment horizontal="general" vertical="bottom" wrapText="true"/>
    </xf>
    <xf numFmtId="0" fontId="7" fillId="4" borderId="1" xfId="0" applyNumberFormat="false" applyFont="true" applyFill="true" applyBorder="false" applyAlignment="false" applyProtection="false">
      <alignment horizontal="general" vertical="bottom"/>
    </xf>
    <xf numFmtId="0" fontId="9" fillId="5" borderId="1" xfId="0" applyNumberFormat="false" applyFont="true" applyFill="true" applyBorder="false" applyAlignment="false" applyProtection="false">
      <alignment horizontal="general" vertical="bottom"/>
    </xf>
    <xf numFmtId="0" fontId="10" fillId="6" borderId="1" xfId="0" applyNumberFormat="false" applyFont="true" applyFill="true" applyBorder="false" applyAlignment="false" applyProtection="false">
      <alignment horizontal="general" vertical="bottom"/>
    </xf>
    <xf numFmtId="0" fontId="9" fillId="7" borderId="1" xfId="0" applyNumberFormat="false" applyFont="true" applyFill="true" applyBorder="false" applyAlignment="false" applyProtection="false">
      <alignment horizontal="general" vertical="bottom"/>
    </xf>
    <xf numFmtId="0" fontId="1" fillId="6" borderId="1" xfId="0" applyNumberFormat="false" applyFont="true" applyFill="true" applyBorder="false" applyAlignment="false" applyProtection="false">
      <alignment horizontal="general" vertical="bottom"/>
    </xf>
    <xf numFmtId="0" fontId="11" fillId="0" borderId="1" xfId="0" applyNumberFormat="false" applyFont="true" applyFill="false" applyBorder="false" applyAlignment="false" applyProtection="false">
      <alignment horizontal="general" vertical="bottom"/>
    </xf>
    <xf numFmtId="0" fontId="12" fillId="0" borderId="1" xfId="0" applyNumberFormat="false" applyFont="false" applyFill="false" applyBorder="false" applyAlignment="false" applyProtection="false">
      <alignment horizontal="general" vertical="bottom"/>
    </xf>
    <xf numFmtId="0" fontId="1" fillId="8" borderId="1" xfId="0" applyNumberFormat="false" applyFont="true" applyFill="true" applyBorder="false" applyAlignment="true" applyProtection="false">
      <alignment horizontal="center"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xl/sharedStrings.xml" Type="http://schemas.openxmlformats.org/officeDocument/2006/relationships/sharedStrings"></Relationship><Relationship Id="rId6" Target="theme/theme1.xml" Type="http://schemas.openxmlformats.org/officeDocument/2006/relationships/theme"></Relationship><Relationship Id="rId7"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AR22"/>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width="10"/>
    <col customWidth="true" max="1" min="1" width="10"/>
    <col customWidth="true" max="1" min="1" width="10"/>
    <col customWidth="true" max="1" min="1" style="1" width="10"/>
    <col customWidth="true" max="1" min="1" width="10"/>
    <col customWidth="true" max="3" min="2" style="1" width="10"/>
    <col customWidth="true" max="3" min="3" style="1" width="10"/>
    <col customWidth="true" max="4" min="3" style="1" width="10"/>
    <col customWidth="true" max="4" min="4" style="1" width="10"/>
    <col customWidth="true" max="5" min="4" style="1" width="10"/>
    <col customWidth="true" max="5" min="5" style="1" width="10"/>
    <col customWidth="true" max="6" min="5" style="1" width="10"/>
    <col customWidth="true" max="6" min="6" style="1" width="10"/>
    <col customWidth="true" max="7" min="6" style="1" width="10"/>
    <col customWidth="true" max="7" min="7" style="1" width="10"/>
    <col customWidth="true" max="8" min="7" style="1" width="10"/>
    <col customWidth="true" max="8" min="8" style="1" width="10"/>
    <col customWidth="true" max="9" min="8" style="1" width="10"/>
    <col customWidth="true" max="9" min="9" style="1" width="10"/>
    <col customWidth="true" max="10" min="9" style="1" width="10"/>
    <col customWidth="true" max="10" min="10" style="1" width="10"/>
    <col customWidth="true" max="11" min="10" style="1" width="10"/>
    <col customWidth="true" max="11" min="11" style="1" width="10"/>
    <col customWidth="true" max="12" min="11" style="1" width="10"/>
    <col customWidth="true" max="12" min="12" style="1" width="10"/>
    <col customWidth="true" max="13" min="12" style="1" width="10"/>
    <col customWidth="true" max="13" min="13" style="1" width="10"/>
    <col customWidth="true" max="14" min="13" style="1" width="10"/>
    <col customWidth="true" max="14" min="14" style="1" width="10"/>
    <col customWidth="true" max="15" min="14" style="1" width="10"/>
    <col customWidth="true" max="15" min="15" style="1" width="10"/>
    <col customWidth="true" max="16" min="15" style="1" width="10"/>
    <col customWidth="true" max="16" min="16" style="1" width="10"/>
    <col customWidth="true" max="17" min="16" style="1" width="10"/>
    <col customWidth="true" max="17" min="17" style="1" width="10"/>
    <col customWidth="true" max="18" min="17" style="1" width="10"/>
    <col customWidth="true" max="18" min="18" style="1" width="10"/>
    <col customWidth="true" max="19" min="18" style="1" width="10"/>
    <col customWidth="true" max="19" min="19" style="1" width="10"/>
    <col customWidth="true" max="20" min="19" style="1" width="10"/>
    <col customWidth="true" max="20" min="20" style="1" width="10"/>
    <col customWidth="true" max="21" min="20" style="1" width="10"/>
    <col customWidth="true" max="21" min="21" style="1" width="10"/>
    <col customWidth="true" max="22" min="21" style="1" width="10"/>
    <col customWidth="true" max="22" min="22" style="1" width="10"/>
    <col customWidth="true" max="23" min="22" style="1" width="10"/>
    <col customWidth="true" max="23" min="23" style="1" width="10"/>
    <col customWidth="true" max="24" min="23" style="1" width="10"/>
    <col customWidth="true" max="24" min="24" style="1" width="10"/>
    <col customWidth="true" max="25" min="24" style="1" width="10"/>
    <col customWidth="true" max="25" min="25" style="1" width="10"/>
    <col customWidth="true" max="26" min="25" style="1" width="10"/>
    <col customWidth="true" max="26" min="26" style="1" width="10"/>
    <col customWidth="true" max="27" min="26" style="1" width="10"/>
    <col customWidth="true" max="27" min="27" style="1" width="10"/>
    <col customWidth="true" max="28" min="27" style="1" width="10"/>
    <col customWidth="true" max="28" min="28" style="1" width="10"/>
    <col customWidth="true" max="29" min="28" style="1" width="10"/>
    <col customWidth="true" max="29" min="29" style="1" width="10"/>
    <col customWidth="true" max="30" min="29" style="1" width="10"/>
    <col customWidth="true" max="30" min="30" style="1" width="10"/>
    <col customWidth="true" max="31" min="30" style="1" width="10"/>
    <col customWidth="true" max="31" min="31" style="1" width="10"/>
    <col customWidth="true" max="32" min="31" style="1" width="10"/>
    <col customWidth="true" max="32" min="32" style="1" width="10"/>
    <col customWidth="true" max="33" min="32" style="1" width="10"/>
    <col customWidth="true" max="33" min="33" style="1" width="10"/>
    <col customWidth="true" max="34" min="33" style="1" width="10"/>
    <col customWidth="true" max="34" min="34" style="1" width="10"/>
    <col customWidth="true" max="35" min="34" style="1" width="10"/>
    <col customWidth="true" max="35" min="35" style="1" width="10"/>
    <col customWidth="true" max="36" min="35" style="1" width="10"/>
    <col customWidth="true" max="36" min="36" style="1" width="10"/>
    <col customWidth="true" max="37" min="36" style="1" width="10"/>
    <col customWidth="true" max="37" min="37" style="1" width="10"/>
    <col customWidth="true" max="38" min="37" style="1" width="10"/>
    <col customWidth="true" max="38" min="38" style="1" width="10"/>
    <col customWidth="true" max="39" min="38" style="1" width="10"/>
    <col customWidth="true" max="39" min="39" style="1" width="10"/>
    <col customWidth="true" max="40" min="39" style="1" width="10"/>
    <col customWidth="true" max="40" min="40" style="1" width="10"/>
    <col customWidth="true" max="41" min="40" style="1" width="10"/>
    <col customWidth="true" max="41" min="41" style="1" width="10"/>
    <col customWidth="true" max="42" min="41" style="1" width="10"/>
    <col customWidth="true" max="42" min="42" style="1" width="10"/>
    <col customWidth="true" max="43" min="42" style="1" width="10"/>
    <col customWidth="true" max="43" min="43" style="1" width="10"/>
    <col customWidth="true" max="44" min="43" style="1" width="10"/>
    <col customWidth="true" max="44" min="44" style="1" width="10"/>
    <col customWidth="true" max="44" min="44" style="1" width="10"/>
  </cols>
  <sheetData>
    <row r="1">
      <c r="A1" s="2" t="s">
        <v>0</v>
      </c>
      <c r="B1" s="2" t="s">
        <v>1</v>
      </c>
      <c r="C1" s="2" t="s">
        <v>2</v>
      </c>
    </row>
    <row r="2">
      <c r="A2" s="2" t="s">
        <v>3</v>
      </c>
      <c r="B2" s="2" t="s">
        <v>4</v>
      </c>
      <c r="C2" s="2" t="s">
        <v>5</v>
      </c>
    </row>
    <row r="3">
      <c r="A3" s="2" t="s"/>
    </row>
    <row r="4"/>
    <row r="5">
      <c r="A5" s="3" t="s">
        <v>6</v>
      </c>
      <c r="B5" s="3" t="s"/>
      <c r="C5" s="3" t="s"/>
      <c r="D5" s="3" t="s"/>
      <c r="E5" s="3" t="s"/>
      <c r="F5" s="3" t="s"/>
      <c r="G5" s="3" t="s"/>
      <c r="H5" s="3">
        <f>=SUM(INDIRECT(ADDRESS(6,8)):INDIRECT(ADDRESS(1048576,8)))</f>
      </c>
      <c r="I5" s="3">
        <f>=SUM(INDIRECT(ADDRESS(6,9)):INDIRECT(ADDRESS(1048576,9)))</f>
      </c>
      <c r="J5" s="3">
        <f>=SUM(INDIRECT(ADDRESS(6,10)):INDIRECT(ADDRESS(1048576,10)))</f>
      </c>
      <c r="K5" s="3">
        <f>=SUM(INDIRECT(ADDRESS(6,11)):INDIRECT(ADDRESS(1048576,11)))</f>
      </c>
      <c r="L5" s="3">
        <f>=SUM(INDIRECT(ADDRESS(6,12)):INDIRECT(ADDRESS(1048576,12)))</f>
      </c>
      <c r="M5" s="3">
        <f>=SUM(INDIRECT(ADDRESS(6,13)):INDIRECT(ADDRESS(1048576,13)))</f>
      </c>
      <c r="N5" s="3">
        <f>=SUM(INDIRECT(ADDRESS(6,14)):INDIRECT(ADDRESS(1048576,14)))</f>
      </c>
      <c r="O5" s="3">
        <f>=SUM(INDIRECT(ADDRESS(6,15)):INDIRECT(ADDRESS(1048576,15)))</f>
      </c>
      <c r="P5" s="3">
        <f>=SUM(INDIRECT(ADDRESS(6,16)):INDIRECT(ADDRESS(1048576,16)))</f>
      </c>
      <c r="Q5" s="3">
        <f>=SUM(INDIRECT(ADDRESS(6,17)):INDIRECT(ADDRESS(1048576,17)))</f>
      </c>
      <c r="R5" s="3">
        <f>=SUM(INDIRECT(ADDRESS(6,18)):INDIRECT(ADDRESS(1048576,18)))</f>
      </c>
      <c r="S5" s="3">
        <f>=SUM(INDIRECT(ADDRESS(6,19)):INDIRECT(ADDRESS(1048576,19)))</f>
      </c>
      <c r="T5" s="3">
        <f>=SUM(INDIRECT(ADDRESS(6,20)):INDIRECT(ADDRESS(1048576,20)))</f>
      </c>
      <c r="U5" s="3">
        <f>=SUM(INDIRECT(ADDRESS(6,21)):INDIRECT(ADDRESS(1048576,21)))</f>
      </c>
      <c r="V5" s="3">
        <f>=SUM(INDIRECT(ADDRESS(6,22)):INDIRECT(ADDRESS(1048576,22)))</f>
      </c>
      <c r="W5" s="3" t="s"/>
      <c r="X5" s="3">
        <f>=SUM(INDIRECT(ADDRESS(6,24)):INDIRECT(ADDRESS(1048576,24)))</f>
      </c>
      <c r="Y5" s="3">
        <f>=SUM(INDIRECT(ADDRESS(6,25)):INDIRECT(ADDRESS(1048576,25)))</f>
      </c>
      <c r="Z5" s="3">
        <f>=SUM(INDIRECT(ADDRESS(6,26)):INDIRECT(ADDRESS(1048576,26)))</f>
      </c>
      <c r="AA5" s="3">
        <f>=SUM(INDIRECT(ADDRESS(6,27)):INDIRECT(ADDRESS(1048576,27)))</f>
      </c>
      <c r="AB5" s="3">
        <f>=SUM(INDIRECT(ADDRESS(6,28)):INDIRECT(ADDRESS(1048576,28)))</f>
      </c>
      <c r="AC5" s="3">
        <f>=SUM(INDIRECT(ADDRESS(6,29)):INDIRECT(ADDRESS(1048576,29)))</f>
      </c>
      <c r="AD5" s="3">
        <f>=SUM(INDIRECT(ADDRESS(6,30)):INDIRECT(ADDRESS(1048576,30)))</f>
      </c>
      <c r="AE5" s="3">
        <f>=SUM(INDIRECT(ADDRESS(6,31)):INDIRECT(ADDRESS(1048576,31)))</f>
      </c>
      <c r="AF5" s="3">
        <f>=SUM(INDIRECT(ADDRESS(6,32)):INDIRECT(ADDRESS(1048576,32)))</f>
      </c>
      <c r="AG5" s="3">
        <f>=SUM(INDIRECT(ADDRESS(6,33)):INDIRECT(ADDRESS(1048576,33)))</f>
      </c>
      <c r="AH5" s="3" t="s"/>
      <c r="AI5" s="3">
        <f>=SUM(INDIRECT(ADDRESS(6,35)):INDIRECT(ADDRESS(1048576,35)))</f>
      </c>
      <c r="AJ5" s="3">
        <f>=SUM(INDIRECT(ADDRESS(6,36)):INDIRECT(ADDRESS(1048576,36)))</f>
      </c>
      <c r="AK5" s="3" t="s"/>
      <c r="AL5" s="3" t="s"/>
      <c r="AM5" s="3" t="s"/>
      <c r="AN5" s="3">
        <f>=SUM(INDIRECT(ADDRESS(6,40)):INDIRECT(ADDRESS(1048576,40)))</f>
      </c>
      <c r="AO5" s="3">
        <f>=SUM(INDIRECT(ADDRESS(6,41)):INDIRECT(ADDRESS(1048576,41)))</f>
      </c>
      <c r="AP5" s="3">
        <f>=SUM(INDIRECT(ADDRESS(6,42)):INDIRECT(ADDRESS(1048576,42)))</f>
      </c>
      <c r="AQ5" s="3">
        <f>=SUM(INDIRECT(ADDRESS(6,43)):INDIRECT(ADDRESS(1048576,43)))</f>
      </c>
      <c r="AR5" s="3">
        <f>=SUM(INDIRECT(ADDRESS(6,44)):INDIRECT(ADDRESS(1048576,44)))</f>
      </c>
    </row>
    <row r="6">
      <c r="A6" s="3" t="s">
        <v>7</v>
      </c>
      <c r="B6" s="3" t="s">
        <v>8</v>
      </c>
      <c r="C6" s="3" t="s">
        <v>9</v>
      </c>
      <c r="D6" s="3" t="s">
        <v>10</v>
      </c>
      <c r="E6" s="3" t="s">
        <v>11</v>
      </c>
      <c r="F6" s="3" t="s">
        <v>12</v>
      </c>
      <c r="G6" s="3" t="s">
        <v>13</v>
      </c>
      <c r="H6" s="3" t="s">
        <v>14</v>
      </c>
      <c r="I6" s="3" t="s">
        <v>15</v>
      </c>
      <c r="J6" s="3" t="s">
        <v>16</v>
      </c>
      <c r="K6" s="3" t="s">
        <v>17</v>
      </c>
      <c r="L6" s="3" t="s">
        <v>18</v>
      </c>
      <c r="M6" s="3" t="s">
        <v>19</v>
      </c>
      <c r="N6" s="3" t="s">
        <v>20</v>
      </c>
      <c r="O6" s="3" t="s">
        <v>21</v>
      </c>
      <c r="P6" s="3" t="s">
        <v>22</v>
      </c>
      <c r="Q6" s="3" t="s">
        <v>23</v>
      </c>
      <c r="R6" s="3" t="s">
        <v>24</v>
      </c>
      <c r="S6" s="3" t="s">
        <v>25</v>
      </c>
      <c r="T6" s="3" t="s">
        <v>26</v>
      </c>
      <c r="U6" s="3" t="s">
        <v>27</v>
      </c>
      <c r="V6" s="3" t="s">
        <v>28</v>
      </c>
      <c r="W6" s="3" t="s">
        <v>29</v>
      </c>
      <c r="X6" s="3" t="s">
        <v>30</v>
      </c>
      <c r="Y6" s="3" t="s">
        <v>31</v>
      </c>
      <c r="Z6" s="3" t="s">
        <v>32</v>
      </c>
      <c r="AA6" s="3" t="s">
        <v>33</v>
      </c>
      <c r="AB6" s="3" t="s">
        <v>34</v>
      </c>
      <c r="AC6" s="3" t="s">
        <v>35</v>
      </c>
      <c r="AD6" s="3" t="s">
        <v>36</v>
      </c>
      <c r="AE6" s="3" t="s">
        <v>37</v>
      </c>
      <c r="AF6" s="3" t="s">
        <v>38</v>
      </c>
      <c r="AG6" s="3" t="s">
        <v>39</v>
      </c>
      <c r="AH6" s="3" t="s">
        <v>40</v>
      </c>
      <c r="AI6" s="3" t="s">
        <v>41</v>
      </c>
      <c r="AJ6" s="3" t="s">
        <v>42</v>
      </c>
      <c r="AK6" s="3" t="s">
        <v>43</v>
      </c>
      <c r="AL6" s="3" t="s">
        <v>44</v>
      </c>
      <c r="AM6" s="3" t="s"/>
      <c r="AN6" s="3" t="s">
        <v>45</v>
      </c>
      <c r="AO6" s="3" t="s">
        <v>46</v>
      </c>
      <c r="AP6" s="3" t="s">
        <v>47</v>
      </c>
      <c r="AQ6" s="3" t="s">
        <v>48</v>
      </c>
      <c r="AR6" s="3" t="s">
        <v>49</v>
      </c>
    </row>
    <row r="7">
      <c r="A7" s="3">
        <v>1</v>
      </c>
      <c r="B7" s="3" t="s">
        <v>50</v>
      </c>
      <c r="C7" s="3" t="s"/>
      <c r="D7" s="3" t="s">
        <v>51</v>
      </c>
      <c r="E7" s="3" t="s">
        <v>52</v>
      </c>
      <c r="F7" s="3" t="s">
        <v>53</v>
      </c>
      <c r="G7" s="3" t="s">
        <v>5</v>
      </c>
      <c r="H7" s="3">
        <v>1999000</v>
      </c>
      <c r="I7" s="3">
        <v>0</v>
      </c>
      <c r="J7" s="3">
        <v>0</v>
      </c>
      <c r="K7" s="3">
        <v>0</v>
      </c>
      <c r="L7" s="3">
        <v>-35000</v>
      </c>
      <c r="M7" s="3">
        <v>0</v>
      </c>
      <c r="N7" s="3">
        <v>0</v>
      </c>
      <c r="O7" s="3">
        <v>0</v>
      </c>
      <c r="P7" s="3">
        <v>0</v>
      </c>
      <c r="Q7" s="3">
        <v>0</v>
      </c>
      <c r="R7" s="3">
        <v>60000</v>
      </c>
      <c r="S7" s="3">
        <v>-78000</v>
      </c>
      <c r="T7" s="3">
        <v>0</v>
      </c>
      <c r="U7" s="3">
        <v>0</v>
      </c>
      <c r="V7" s="3">
        <v>0</v>
      </c>
      <c r="W7" s="3">
        <v>0</v>
      </c>
      <c r="X7" s="3">
        <v>-176760</v>
      </c>
      <c r="Y7" s="3">
        <v>-100000</v>
      </c>
      <c r="Z7" s="3">
        <v>-1250</v>
      </c>
      <c r="AA7" s="3">
        <v>-9820</v>
      </c>
      <c r="AB7" s="3">
        <v>-350</v>
      </c>
      <c r="AC7" s="3">
        <v>0</v>
      </c>
      <c r="AD7" s="3">
        <v>0</v>
      </c>
      <c r="AE7" s="3">
        <v>0</v>
      </c>
      <c r="AF7" s="3">
        <v>0</v>
      </c>
      <c r="AG7" s="3">
        <v>1657820</v>
      </c>
      <c r="AH7" s="3" t="s">
        <v>54</v>
      </c>
      <c r="AI7" s="3">
        <v>0</v>
      </c>
      <c r="AJ7" s="3">
        <v>0</v>
      </c>
      <c r="AK7" s="3" t="s">
        <v>55</v>
      </c>
      <c r="AL7" s="3" t="s">
        <v>56</v>
      </c>
      <c r="AM7" s="3" t="s"/>
      <c r="AN7" s="3">
        <v>0</v>
      </c>
      <c r="AO7" s="3">
        <v>0</v>
      </c>
      <c r="AP7" s="3">
        <v>0</v>
      </c>
      <c r="AQ7" s="3">
        <v>0</v>
      </c>
      <c r="AR7" s="3">
        <v>0</v>
      </c>
    </row>
    <row r="8">
      <c r="A8" s="3">
        <v>2</v>
      </c>
      <c r="B8" s="3" t="s">
        <v>57</v>
      </c>
      <c r="C8" s="3" t="s"/>
      <c r="D8" s="3" t="s">
        <v>58</v>
      </c>
      <c r="E8" s="3" t="s">
        <v>59</v>
      </c>
      <c r="F8" s="3" t="s">
        <v>60</v>
      </c>
      <c r="G8" s="3" t="s">
        <v>5</v>
      </c>
      <c r="H8" s="3">
        <v>1999000</v>
      </c>
      <c r="I8" s="3">
        <v>0</v>
      </c>
      <c r="J8" s="3">
        <v>0</v>
      </c>
      <c r="K8" s="3">
        <v>0</v>
      </c>
      <c r="L8" s="3">
        <v>-35000</v>
      </c>
      <c r="M8" s="3">
        <v>0</v>
      </c>
      <c r="N8" s="3">
        <v>0</v>
      </c>
      <c r="O8" s="3">
        <v>0</v>
      </c>
      <c r="P8" s="3">
        <v>0</v>
      </c>
      <c r="Q8" s="3">
        <v>0</v>
      </c>
      <c r="R8" s="3">
        <v>29500</v>
      </c>
      <c r="S8" s="3">
        <v>-29500</v>
      </c>
      <c r="T8" s="3">
        <v>0</v>
      </c>
      <c r="U8" s="3">
        <v>0</v>
      </c>
      <c r="V8" s="3">
        <v>0</v>
      </c>
      <c r="W8" s="3">
        <v>0</v>
      </c>
      <c r="X8" s="3">
        <v>-176760</v>
      </c>
      <c r="Y8" s="3">
        <v>-120000</v>
      </c>
      <c r="Z8" s="3">
        <v>-1250</v>
      </c>
      <c r="AA8" s="3">
        <v>-9820</v>
      </c>
      <c r="AB8" s="3">
        <v>-350</v>
      </c>
      <c r="AC8" s="3">
        <v>0</v>
      </c>
      <c r="AD8" s="3">
        <v>0</v>
      </c>
      <c r="AE8" s="3">
        <v>0</v>
      </c>
      <c r="AF8" s="3">
        <v>0</v>
      </c>
      <c r="AG8" s="3">
        <v>1655820</v>
      </c>
      <c r="AH8" s="3" t="s">
        <v>54</v>
      </c>
      <c r="AI8" s="3">
        <v>0</v>
      </c>
      <c r="AJ8" s="3">
        <v>0</v>
      </c>
      <c r="AK8" s="3" t="s">
        <v>55</v>
      </c>
      <c r="AL8" s="3" t="s">
        <v>61</v>
      </c>
      <c r="AM8" s="3" t="s"/>
      <c r="AN8" s="3">
        <v>0</v>
      </c>
      <c r="AO8" s="3">
        <v>0</v>
      </c>
      <c r="AP8" s="3">
        <v>0</v>
      </c>
      <c r="AQ8" s="3">
        <v>0</v>
      </c>
      <c r="AR8" s="3">
        <v>0</v>
      </c>
    </row>
    <row r="9">
      <c r="A9" s="3">
        <v>3</v>
      </c>
      <c r="B9" s="3" t="s">
        <v>62</v>
      </c>
      <c r="C9" s="3" t="s"/>
      <c r="D9" s="3" t="s">
        <v>63</v>
      </c>
      <c r="E9" s="3" t="s">
        <v>59</v>
      </c>
      <c r="F9" s="3" t="s">
        <v>64</v>
      </c>
      <c r="G9" s="3" t="s">
        <v>65</v>
      </c>
      <c r="H9" s="3">
        <v>1999000</v>
      </c>
      <c r="I9" s="3">
        <v>0</v>
      </c>
      <c r="J9" s="3">
        <v>0</v>
      </c>
      <c r="K9" s="3">
        <v>0</v>
      </c>
      <c r="L9" s="3">
        <v>-35000</v>
      </c>
      <c r="M9" s="3">
        <v>0</v>
      </c>
      <c r="N9" s="3">
        <v>0</v>
      </c>
      <c r="O9" s="3">
        <v>0</v>
      </c>
      <c r="P9" s="3">
        <v>0</v>
      </c>
      <c r="Q9" s="3">
        <v>0</v>
      </c>
      <c r="R9" s="3">
        <v>12800</v>
      </c>
      <c r="S9" s="3">
        <v>-12800</v>
      </c>
      <c r="T9" s="3">
        <v>0</v>
      </c>
      <c r="U9" s="3">
        <v>0</v>
      </c>
      <c r="V9" s="3">
        <v>0</v>
      </c>
      <c r="W9" s="3">
        <v>-37378</v>
      </c>
      <c r="X9" s="3">
        <v>-176760</v>
      </c>
      <c r="Y9" s="3">
        <v>-100000</v>
      </c>
      <c r="Z9" s="3">
        <v>-1250</v>
      </c>
      <c r="AA9" s="3">
        <v>-9820</v>
      </c>
      <c r="AB9" s="3">
        <v>-350</v>
      </c>
      <c r="AC9" s="3">
        <v>-42092</v>
      </c>
      <c r="AD9" s="3">
        <v>0</v>
      </c>
      <c r="AE9" s="3">
        <v>0</v>
      </c>
      <c r="AF9" s="3">
        <v>0</v>
      </c>
      <c r="AG9" s="3">
        <v>1596350</v>
      </c>
      <c r="AH9" s="3" t="s">
        <v>54</v>
      </c>
      <c r="AI9" s="3">
        <v>0</v>
      </c>
      <c r="AJ9" s="3">
        <v>0</v>
      </c>
      <c r="AK9" s="3" t="s">
        <v>55</v>
      </c>
      <c r="AL9" s="3" t="s">
        <v>61</v>
      </c>
      <c r="AM9" s="3" t="s"/>
      <c r="AN9" s="3">
        <v>0</v>
      </c>
      <c r="AO9" s="3">
        <v>0</v>
      </c>
      <c r="AP9" s="3">
        <v>0</v>
      </c>
      <c r="AQ9" s="3">
        <v>0</v>
      </c>
      <c r="AR9" s="3">
        <v>0</v>
      </c>
    </row>
    <row r="10">
      <c r="A10" s="3">
        <v>4</v>
      </c>
      <c r="B10" s="3" t="s">
        <v>66</v>
      </c>
      <c r="C10" s="3" t="s"/>
      <c r="D10" s="3" t="s">
        <v>67</v>
      </c>
      <c r="E10" s="3" t="s">
        <v>68</v>
      </c>
      <c r="F10" s="3" t="s">
        <v>69</v>
      </c>
      <c r="G10" s="3" t="s">
        <v>65</v>
      </c>
      <c r="H10" s="3">
        <v>2499000</v>
      </c>
      <c r="I10" s="3">
        <v>0</v>
      </c>
      <c r="J10" s="3">
        <v>0</v>
      </c>
      <c r="K10" s="3">
        <v>0</v>
      </c>
      <c r="L10" s="3">
        <v>0</v>
      </c>
      <c r="M10" s="3">
        <v>0</v>
      </c>
      <c r="N10" s="3">
        <v>0</v>
      </c>
      <c r="O10" s="3">
        <v>0</v>
      </c>
      <c r="P10" s="3">
        <v>0</v>
      </c>
      <c r="Q10" s="3">
        <v>0</v>
      </c>
      <c r="R10" s="3">
        <v>10000</v>
      </c>
      <c r="S10" s="3">
        <v>-28500</v>
      </c>
      <c r="T10" s="3">
        <v>0</v>
      </c>
      <c r="U10" s="3">
        <v>0</v>
      </c>
      <c r="V10" s="3">
        <v>0</v>
      </c>
      <c r="W10" s="3">
        <v>0</v>
      </c>
      <c r="X10" s="3">
        <v>-224910</v>
      </c>
      <c r="Y10" s="3">
        <v>-100000</v>
      </c>
      <c r="Z10" s="3">
        <v>-1250</v>
      </c>
      <c r="AA10" s="3">
        <v>-12495</v>
      </c>
      <c r="AB10" s="3">
        <v>-350</v>
      </c>
      <c r="AC10" s="3">
        <v>0</v>
      </c>
      <c r="AD10" s="3">
        <v>0</v>
      </c>
      <c r="AE10" s="3">
        <v>0</v>
      </c>
      <c r="AF10" s="3">
        <v>0</v>
      </c>
      <c r="AG10" s="3">
        <v>2141495</v>
      </c>
      <c r="AH10" s="3" t="s"/>
      <c r="AI10" s="3">
        <v>0</v>
      </c>
      <c r="AJ10" s="3">
        <v>0</v>
      </c>
      <c r="AK10" s="3" t="s">
        <v>55</v>
      </c>
      <c r="AL10" s="3" t="s">
        <v>56</v>
      </c>
      <c r="AM10" s="3" t="s"/>
      <c r="AN10" s="3">
        <v>0</v>
      </c>
      <c r="AO10" s="3">
        <v>0</v>
      </c>
      <c r="AP10" s="3">
        <v>0</v>
      </c>
      <c r="AQ10" s="3">
        <v>0</v>
      </c>
      <c r="AR10" s="3">
        <v>0</v>
      </c>
    </row>
    <row r="11">
      <c r="A11" s="3">
        <v>5</v>
      </c>
      <c r="B11" s="3" t="s">
        <v>70</v>
      </c>
      <c r="C11" s="3" t="s"/>
      <c r="D11" s="3" t="s">
        <v>71</v>
      </c>
      <c r="E11" s="3" t="s">
        <v>72</v>
      </c>
      <c r="F11" s="3" t="s">
        <v>64</v>
      </c>
      <c r="G11" s="3" t="s">
        <v>65</v>
      </c>
      <c r="H11" s="3">
        <v>1899000</v>
      </c>
      <c r="I11" s="3">
        <v>0</v>
      </c>
      <c r="J11" s="3">
        <v>0</v>
      </c>
      <c r="K11" s="3">
        <v>0</v>
      </c>
      <c r="L11" s="3">
        <v>0</v>
      </c>
      <c r="M11" s="3">
        <v>0</v>
      </c>
      <c r="N11" s="3">
        <v>0</v>
      </c>
      <c r="O11" s="3">
        <v>0</v>
      </c>
      <c r="P11" s="3">
        <v>0</v>
      </c>
      <c r="Q11" s="3">
        <v>0</v>
      </c>
      <c r="R11" s="3">
        <v>10000</v>
      </c>
      <c r="S11" s="3">
        <v>-34500</v>
      </c>
      <c r="T11" s="3">
        <v>0</v>
      </c>
      <c r="U11" s="3">
        <v>0</v>
      </c>
      <c r="V11" s="3">
        <v>0</v>
      </c>
      <c r="W11" s="3">
        <v>-71220</v>
      </c>
      <c r="X11" s="3">
        <v>-170910</v>
      </c>
      <c r="Y11" s="3">
        <v>-100000</v>
      </c>
      <c r="Z11" s="3">
        <v>-1250</v>
      </c>
      <c r="AA11" s="3">
        <v>-9495</v>
      </c>
      <c r="AB11" s="3">
        <v>-350</v>
      </c>
      <c r="AC11" s="3">
        <v>-40101</v>
      </c>
      <c r="AD11" s="3">
        <v>0</v>
      </c>
      <c r="AE11" s="3">
        <v>0</v>
      </c>
      <c r="AF11" s="3">
        <v>0</v>
      </c>
      <c r="AG11" s="3">
        <v>1481174</v>
      </c>
      <c r="AH11" s="3" t="s"/>
      <c r="AI11" s="3">
        <v>0</v>
      </c>
      <c r="AJ11" s="3">
        <v>0</v>
      </c>
      <c r="AK11" s="3" t="s">
        <v>55</v>
      </c>
      <c r="AL11" s="3" t="s">
        <v>56</v>
      </c>
      <c r="AM11" s="3" t="s"/>
      <c r="AN11" s="3">
        <v>0</v>
      </c>
      <c r="AO11" s="3">
        <v>0</v>
      </c>
      <c r="AP11" s="3">
        <v>0</v>
      </c>
      <c r="AQ11" s="3">
        <v>0</v>
      </c>
      <c r="AR11" s="3">
        <v>0</v>
      </c>
    </row>
    <row r="12">
      <c r="A12" s="3">
        <v>6</v>
      </c>
      <c r="B12" s="3" t="s">
        <v>73</v>
      </c>
      <c r="C12" s="3" t="s"/>
      <c r="D12" s="3" t="s">
        <v>74</v>
      </c>
      <c r="E12" s="3" t="s">
        <v>72</v>
      </c>
      <c r="F12" s="3" t="s">
        <v>69</v>
      </c>
      <c r="G12" s="3" t="s">
        <v>65</v>
      </c>
      <c r="H12" s="3">
        <v>1499000</v>
      </c>
      <c r="I12" s="3">
        <v>0</v>
      </c>
      <c r="J12" s="3">
        <v>0</v>
      </c>
      <c r="K12" s="3">
        <v>0</v>
      </c>
      <c r="L12" s="3">
        <v>0</v>
      </c>
      <c r="M12" s="3">
        <v>0</v>
      </c>
      <c r="N12" s="3">
        <v>0</v>
      </c>
      <c r="O12" s="3">
        <v>0</v>
      </c>
      <c r="P12" s="3">
        <v>0</v>
      </c>
      <c r="Q12" s="3">
        <v>0</v>
      </c>
      <c r="R12" s="3">
        <v>10000</v>
      </c>
      <c r="S12" s="3">
        <v>-13000</v>
      </c>
      <c r="T12" s="3">
        <v>0</v>
      </c>
      <c r="U12" s="3">
        <v>0</v>
      </c>
      <c r="V12" s="3">
        <v>0</v>
      </c>
      <c r="W12" s="3">
        <v>-27953</v>
      </c>
      <c r="X12" s="3">
        <v>-134910</v>
      </c>
      <c r="Y12" s="3">
        <v>-100000</v>
      </c>
      <c r="Z12" s="3">
        <v>-1250</v>
      </c>
      <c r="AA12" s="3">
        <v>-7495</v>
      </c>
      <c r="AB12" s="3">
        <v>-350</v>
      </c>
      <c r="AC12" s="3">
        <v>0</v>
      </c>
      <c r="AD12" s="3">
        <v>0</v>
      </c>
      <c r="AE12" s="3">
        <v>0</v>
      </c>
      <c r="AF12" s="3">
        <v>0</v>
      </c>
      <c r="AG12" s="3">
        <v>1224042</v>
      </c>
      <c r="AH12" s="3" t="s"/>
      <c r="AI12" s="3">
        <v>0</v>
      </c>
      <c r="AJ12" s="3">
        <v>0</v>
      </c>
      <c r="AK12" s="3" t="s">
        <v>55</v>
      </c>
      <c r="AL12" s="3" t="s">
        <v>61</v>
      </c>
      <c r="AM12" s="3" t="s"/>
      <c r="AN12" s="3">
        <v>0</v>
      </c>
      <c r="AO12" s="3">
        <v>0</v>
      </c>
      <c r="AP12" s="3">
        <v>0</v>
      </c>
      <c r="AQ12" s="3">
        <v>0</v>
      </c>
      <c r="AR12" s="3">
        <v>0</v>
      </c>
    </row>
    <row r="13">
      <c r="A13" s="3">
        <v>7</v>
      </c>
      <c r="B13" s="3" t="s">
        <v>75</v>
      </c>
      <c r="C13" s="3" t="s"/>
      <c r="D13" s="3" t="s">
        <v>76</v>
      </c>
      <c r="E13" s="3" t="s">
        <v>77</v>
      </c>
      <c r="F13" s="3" t="s">
        <v>64</v>
      </c>
      <c r="G13" s="3" t="s">
        <v>4</v>
      </c>
      <c r="H13" s="3">
        <v>2499000</v>
      </c>
      <c r="I13" s="3">
        <v>0</v>
      </c>
      <c r="J13" s="3">
        <v>0</v>
      </c>
      <c r="K13" s="3">
        <v>0</v>
      </c>
      <c r="L13" s="3">
        <v>-35000</v>
      </c>
      <c r="M13" s="3">
        <v>0</v>
      </c>
      <c r="N13" s="3">
        <v>0</v>
      </c>
      <c r="O13" s="3">
        <v>0</v>
      </c>
      <c r="P13" s="3">
        <v>0</v>
      </c>
      <c r="Q13" s="3">
        <v>0</v>
      </c>
      <c r="R13" s="3">
        <v>52000</v>
      </c>
      <c r="S13" s="3">
        <v>-52000</v>
      </c>
      <c r="T13" s="3">
        <v>0</v>
      </c>
      <c r="U13" s="3">
        <v>0</v>
      </c>
      <c r="V13" s="3">
        <v>0</v>
      </c>
      <c r="W13" s="3">
        <v>0</v>
      </c>
      <c r="X13" s="3">
        <v>-221760</v>
      </c>
      <c r="Y13" s="3">
        <v>-100000</v>
      </c>
      <c r="Z13" s="3">
        <v>-1250</v>
      </c>
      <c r="AA13" s="3">
        <v>-12320</v>
      </c>
      <c r="AB13" s="3">
        <v>-350</v>
      </c>
      <c r="AC13" s="3">
        <v>0</v>
      </c>
      <c r="AD13" s="3">
        <v>0</v>
      </c>
      <c r="AE13" s="3">
        <v>0</v>
      </c>
      <c r="AF13" s="3">
        <v>0</v>
      </c>
      <c r="AG13" s="3">
        <v>2128320</v>
      </c>
      <c r="AH13" s="3" t="s">
        <v>54</v>
      </c>
      <c r="AI13" s="3">
        <v>0</v>
      </c>
      <c r="AJ13" s="3">
        <v>0</v>
      </c>
      <c r="AK13" s="3" t="s">
        <v>55</v>
      </c>
      <c r="AL13" s="3" t="s">
        <v>61</v>
      </c>
      <c r="AM13" s="3" t="s"/>
      <c r="AN13" s="3">
        <v>0</v>
      </c>
      <c r="AO13" s="3">
        <v>0</v>
      </c>
      <c r="AP13" s="3">
        <v>0</v>
      </c>
      <c r="AQ13" s="3">
        <v>0</v>
      </c>
      <c r="AR13" s="3">
        <v>0</v>
      </c>
    </row>
    <row r="14">
      <c r="A14" s="3">
        <v>8</v>
      </c>
      <c r="B14" s="3" t="s">
        <v>78</v>
      </c>
      <c r="C14" s="3" t="s"/>
      <c r="D14" s="3" t="s">
        <v>79</v>
      </c>
      <c r="E14" s="3" t="s">
        <v>80</v>
      </c>
      <c r="F14" s="3" t="s">
        <v>64</v>
      </c>
      <c r="G14" s="3" t="s">
        <v>4</v>
      </c>
      <c r="H14" s="3">
        <v>2599000</v>
      </c>
      <c r="I14" s="3">
        <v>0</v>
      </c>
      <c r="J14" s="3">
        <v>0</v>
      </c>
      <c r="K14" s="3">
        <v>0</v>
      </c>
      <c r="L14" s="3">
        <v>0</v>
      </c>
      <c r="M14" s="3">
        <v>0</v>
      </c>
      <c r="N14" s="3">
        <v>0</v>
      </c>
      <c r="O14" s="3">
        <v>0</v>
      </c>
      <c r="P14" s="3">
        <v>7600</v>
      </c>
      <c r="Q14" s="3">
        <v>0</v>
      </c>
      <c r="R14" s="3">
        <v>60000</v>
      </c>
      <c r="S14" s="3">
        <v>-67600</v>
      </c>
      <c r="T14" s="3">
        <v>0</v>
      </c>
      <c r="U14" s="3">
        <v>0</v>
      </c>
      <c r="V14" s="3">
        <v>0</v>
      </c>
      <c r="W14" s="3">
        <v>0</v>
      </c>
      <c r="X14" s="3">
        <v>-233910</v>
      </c>
      <c r="Y14" s="3">
        <v>-100000</v>
      </c>
      <c r="Z14" s="3">
        <v>-1250</v>
      </c>
      <c r="AA14" s="3">
        <v>-12995</v>
      </c>
      <c r="AB14" s="3">
        <v>-350</v>
      </c>
      <c r="AC14" s="3">
        <v>-55822</v>
      </c>
      <c r="AD14" s="3">
        <v>0</v>
      </c>
      <c r="AE14" s="3">
        <v>0</v>
      </c>
      <c r="AF14" s="3">
        <v>0</v>
      </c>
      <c r="AG14" s="3">
        <v>2194673</v>
      </c>
      <c r="AH14" s="3" t="s"/>
      <c r="AI14" s="3">
        <v>0</v>
      </c>
      <c r="AJ14" s="3">
        <v>0</v>
      </c>
      <c r="AK14" s="3" t="s">
        <v>61</v>
      </c>
      <c r="AL14" s="3" t="s">
        <v>61</v>
      </c>
      <c r="AM14" s="3" t="s"/>
      <c r="AN14" s="3">
        <v>0</v>
      </c>
      <c r="AO14" s="3">
        <v>0</v>
      </c>
      <c r="AP14" s="3">
        <v>0</v>
      </c>
      <c r="AQ14" s="3">
        <v>0</v>
      </c>
      <c r="AR14" s="3">
        <v>0</v>
      </c>
    </row>
    <row r="15">
      <c r="A15" s="3">
        <v>9</v>
      </c>
      <c r="B15" s="3" t="s">
        <v>81</v>
      </c>
      <c r="C15" s="3" t="s"/>
      <c r="D15" s="3" t="s">
        <v>82</v>
      </c>
      <c r="E15" s="3" t="s">
        <v>83</v>
      </c>
      <c r="F15" s="3" t="s">
        <v>64</v>
      </c>
      <c r="G15" s="3" t="s">
        <v>4</v>
      </c>
      <c r="H15" s="3">
        <v>2099000</v>
      </c>
      <c r="I15" s="3">
        <v>0</v>
      </c>
      <c r="J15" s="3">
        <v>0</v>
      </c>
      <c r="K15" s="3">
        <v>0</v>
      </c>
      <c r="L15" s="3">
        <v>-35000</v>
      </c>
      <c r="M15" s="3">
        <v>0</v>
      </c>
      <c r="N15" s="3">
        <v>0</v>
      </c>
      <c r="O15" s="3">
        <v>0</v>
      </c>
      <c r="P15" s="3">
        <v>10000</v>
      </c>
      <c r="Q15" s="3">
        <v>0</v>
      </c>
      <c r="R15" s="3">
        <v>10000</v>
      </c>
      <c r="S15" s="3">
        <v>-20000</v>
      </c>
      <c r="T15" s="3">
        <v>0</v>
      </c>
      <c r="U15" s="3">
        <v>0</v>
      </c>
      <c r="V15" s="3">
        <v>0</v>
      </c>
      <c r="W15" s="3">
        <v>-43530</v>
      </c>
      <c r="X15" s="3">
        <v>-185760</v>
      </c>
      <c r="Y15" s="3">
        <v>-100000</v>
      </c>
      <c r="Z15" s="3">
        <v>-1250</v>
      </c>
      <c r="AA15" s="3">
        <v>-10320</v>
      </c>
      <c r="AB15" s="3">
        <v>-350</v>
      </c>
      <c r="AC15" s="3">
        <v>0</v>
      </c>
      <c r="AD15" s="3">
        <v>0</v>
      </c>
      <c r="AE15" s="3">
        <v>0</v>
      </c>
      <c r="AF15" s="3">
        <v>0</v>
      </c>
      <c r="AG15" s="3">
        <v>1722790</v>
      </c>
      <c r="AH15" s="3" t="s">
        <v>54</v>
      </c>
      <c r="AI15" s="3">
        <v>0</v>
      </c>
      <c r="AJ15" s="3">
        <v>0</v>
      </c>
      <c r="AK15" s="3" t="s">
        <v>55</v>
      </c>
      <c r="AL15" s="3" t="s">
        <v>61</v>
      </c>
      <c r="AM15" s="3" t="s"/>
      <c r="AN15" s="3">
        <v>0</v>
      </c>
      <c r="AO15" s="3">
        <v>0</v>
      </c>
      <c r="AP15" s="3">
        <v>0</v>
      </c>
      <c r="AQ15" s="3">
        <v>0</v>
      </c>
      <c r="AR15" s="3">
        <v>0</v>
      </c>
    </row>
    <row r="16">
      <c r="A16" s="3">
        <v>10</v>
      </c>
      <c r="B16" s="3" t="s">
        <v>84</v>
      </c>
      <c r="C16" s="3" t="s"/>
      <c r="D16" s="3" t="s">
        <v>85</v>
      </c>
      <c r="E16" s="3" t="s">
        <v>72</v>
      </c>
      <c r="F16" s="3" t="s">
        <v>64</v>
      </c>
      <c r="G16" s="3" t="s">
        <v>4</v>
      </c>
      <c r="H16" s="3">
        <v>1999000</v>
      </c>
      <c r="I16" s="3">
        <v>0</v>
      </c>
      <c r="J16" s="3">
        <v>0</v>
      </c>
      <c r="K16" s="3">
        <v>0</v>
      </c>
      <c r="L16" s="3">
        <v>0</v>
      </c>
      <c r="M16" s="3">
        <v>0</v>
      </c>
      <c r="N16" s="3">
        <v>0</v>
      </c>
      <c r="O16" s="3">
        <v>0</v>
      </c>
      <c r="P16" s="3">
        <v>0</v>
      </c>
      <c r="Q16" s="3">
        <v>0</v>
      </c>
      <c r="R16" s="3">
        <v>10200</v>
      </c>
      <c r="S16" s="3">
        <v>-10200</v>
      </c>
      <c r="T16" s="3">
        <v>0</v>
      </c>
      <c r="U16" s="3">
        <v>0</v>
      </c>
      <c r="V16" s="3">
        <v>0</v>
      </c>
      <c r="W16" s="3">
        <v>0</v>
      </c>
      <c r="X16" s="3">
        <v>-179910</v>
      </c>
      <c r="Y16" s="3">
        <v>-100000</v>
      </c>
      <c r="Z16" s="3">
        <v>-1250</v>
      </c>
      <c r="AA16" s="3">
        <v>-9995</v>
      </c>
      <c r="AB16" s="3">
        <v>-350</v>
      </c>
      <c r="AC16" s="3">
        <v>0</v>
      </c>
      <c r="AD16" s="3">
        <v>0</v>
      </c>
      <c r="AE16" s="3">
        <v>0</v>
      </c>
      <c r="AF16" s="3">
        <v>0</v>
      </c>
      <c r="AG16" s="3">
        <v>1707495</v>
      </c>
      <c r="AH16" s="3" t="s"/>
      <c r="AI16" s="3">
        <v>0</v>
      </c>
      <c r="AJ16" s="3">
        <v>0</v>
      </c>
      <c r="AK16" s="3" t="s">
        <v>55</v>
      </c>
      <c r="AL16" s="3" t="s">
        <v>61</v>
      </c>
      <c r="AM16" s="3" t="s"/>
      <c r="AN16" s="3">
        <v>0</v>
      </c>
      <c r="AO16" s="3">
        <v>0</v>
      </c>
      <c r="AP16" s="3">
        <v>0</v>
      </c>
      <c r="AQ16" s="3">
        <v>0</v>
      </c>
      <c r="AR16" s="3">
        <v>0</v>
      </c>
    </row>
    <row r="17">
      <c r="A17" s="3">
        <v>11</v>
      </c>
      <c r="B17" s="3" t="s">
        <v>86</v>
      </c>
      <c r="C17" s="3" t="s"/>
      <c r="D17" s="3" t="s">
        <v>87</v>
      </c>
      <c r="E17" s="3" t="s">
        <v>72</v>
      </c>
      <c r="F17" s="3" t="s">
        <v>64</v>
      </c>
      <c r="G17" s="3" t="s">
        <v>4</v>
      </c>
      <c r="H17" s="3">
        <v>2999000</v>
      </c>
      <c r="I17" s="3">
        <v>0</v>
      </c>
      <c r="J17" s="3">
        <v>0</v>
      </c>
      <c r="K17" s="3">
        <v>0</v>
      </c>
      <c r="L17" s="3">
        <v>-35000</v>
      </c>
      <c r="M17" s="3">
        <v>0</v>
      </c>
      <c r="N17" s="3">
        <v>0</v>
      </c>
      <c r="O17" s="3">
        <v>0</v>
      </c>
      <c r="P17" s="3">
        <v>26000</v>
      </c>
      <c r="Q17" s="3">
        <v>0</v>
      </c>
      <c r="R17" s="3">
        <v>10000</v>
      </c>
      <c r="S17" s="3">
        <v>-62000</v>
      </c>
      <c r="T17" s="3">
        <v>0</v>
      </c>
      <c r="U17" s="3">
        <v>0</v>
      </c>
      <c r="V17" s="3">
        <v>0</v>
      </c>
      <c r="W17" s="3">
        <v>0</v>
      </c>
      <c r="X17" s="3">
        <v>-296400</v>
      </c>
      <c r="Y17" s="3">
        <v>-100000</v>
      </c>
      <c r="Z17" s="3">
        <v>-1250</v>
      </c>
      <c r="AA17" s="3">
        <v>-14820</v>
      </c>
      <c r="AB17" s="3">
        <v>-350</v>
      </c>
      <c r="AC17" s="3">
        <v>-65858</v>
      </c>
      <c r="AD17" s="3">
        <v>0</v>
      </c>
      <c r="AE17" s="3">
        <v>0</v>
      </c>
      <c r="AF17" s="3">
        <v>0</v>
      </c>
      <c r="AG17" s="3">
        <v>2459322</v>
      </c>
      <c r="AH17" s="3" t="s">
        <v>54</v>
      </c>
      <c r="AI17" s="3">
        <v>0</v>
      </c>
      <c r="AJ17" s="3">
        <v>0</v>
      </c>
      <c r="AK17" s="3" t="s">
        <v>56</v>
      </c>
      <c r="AL17" s="3" t="s">
        <v>56</v>
      </c>
      <c r="AM17" s="3" t="s"/>
      <c r="AN17" s="3">
        <v>0</v>
      </c>
      <c r="AO17" s="3">
        <v>0</v>
      </c>
      <c r="AP17" s="3">
        <v>0</v>
      </c>
      <c r="AQ17" s="3">
        <v>0</v>
      </c>
      <c r="AR17" s="3">
        <v>0</v>
      </c>
    </row>
    <row r="18">
      <c r="A18" s="3">
        <v>12</v>
      </c>
      <c r="B18" s="3" t="s">
        <v>88</v>
      </c>
      <c r="C18" s="3" t="s"/>
      <c r="D18" s="3" t="s">
        <v>89</v>
      </c>
      <c r="E18" s="3" t="s">
        <v>68</v>
      </c>
      <c r="F18" s="3" t="s">
        <v>90</v>
      </c>
      <c r="G18" s="3" t="s">
        <v>4</v>
      </c>
      <c r="H18" s="3">
        <v>1999000</v>
      </c>
      <c r="I18" s="3">
        <v>0</v>
      </c>
      <c r="J18" s="3">
        <v>0</v>
      </c>
      <c r="K18" s="3">
        <v>0</v>
      </c>
      <c r="L18" s="3">
        <v>-35000</v>
      </c>
      <c r="M18" s="3">
        <v>0</v>
      </c>
      <c r="N18" s="3">
        <v>0</v>
      </c>
      <c r="O18" s="3">
        <v>0</v>
      </c>
      <c r="P18" s="3">
        <v>0</v>
      </c>
      <c r="Q18" s="3">
        <v>0</v>
      </c>
      <c r="R18" s="3">
        <v>65000</v>
      </c>
      <c r="S18" s="3">
        <v>-80000</v>
      </c>
      <c r="T18" s="3">
        <v>0</v>
      </c>
      <c r="U18" s="3">
        <v>0</v>
      </c>
      <c r="V18" s="3">
        <v>0</v>
      </c>
      <c r="W18" s="3">
        <v>0</v>
      </c>
      <c r="X18" s="3">
        <v>-176760</v>
      </c>
      <c r="Y18" s="3">
        <v>-100000</v>
      </c>
      <c r="Z18" s="3">
        <v>-1250</v>
      </c>
      <c r="AA18" s="3">
        <v>-9820</v>
      </c>
      <c r="AB18" s="3">
        <v>-350</v>
      </c>
      <c r="AC18" s="3">
        <v>0</v>
      </c>
      <c r="AD18" s="3">
        <v>0</v>
      </c>
      <c r="AE18" s="3">
        <v>0</v>
      </c>
      <c r="AF18" s="3">
        <v>0</v>
      </c>
      <c r="AG18" s="3">
        <v>1660820</v>
      </c>
      <c r="AH18" s="3" t="s">
        <v>54</v>
      </c>
      <c r="AI18" s="3">
        <v>0</v>
      </c>
      <c r="AJ18" s="3">
        <v>0</v>
      </c>
      <c r="AK18" s="3" t="s">
        <v>56</v>
      </c>
      <c r="AL18" s="3" t="s">
        <v>56</v>
      </c>
      <c r="AM18" s="3" t="s"/>
      <c r="AN18" s="3">
        <v>0</v>
      </c>
      <c r="AO18" s="3">
        <v>0</v>
      </c>
      <c r="AP18" s="3">
        <v>0</v>
      </c>
      <c r="AQ18" s="3">
        <v>0</v>
      </c>
      <c r="AR18" s="3">
        <v>0</v>
      </c>
    </row>
    <row r="19">
      <c r="A19" s="3">
        <v>13</v>
      </c>
      <c r="B19" s="3" t="s">
        <v>91</v>
      </c>
      <c r="C19" s="3" t="s"/>
      <c r="D19" s="3" t="s">
        <v>92</v>
      </c>
      <c r="E19" s="3" t="s">
        <v>59</v>
      </c>
      <c r="F19" s="3" t="s">
        <v>64</v>
      </c>
      <c r="G19" s="3" t="s">
        <v>4</v>
      </c>
      <c r="H19" s="3">
        <v>2899000</v>
      </c>
      <c r="I19" s="3">
        <v>0</v>
      </c>
      <c r="J19" s="3">
        <v>0</v>
      </c>
      <c r="K19" s="3">
        <v>0</v>
      </c>
      <c r="L19" s="3">
        <v>-35000</v>
      </c>
      <c r="M19" s="3">
        <v>0</v>
      </c>
      <c r="N19" s="3">
        <v>0</v>
      </c>
      <c r="O19" s="3">
        <v>0</v>
      </c>
      <c r="P19" s="3">
        <v>0</v>
      </c>
      <c r="Q19" s="3">
        <v>0</v>
      </c>
      <c r="R19" s="3">
        <v>10000</v>
      </c>
      <c r="S19" s="3">
        <v>-18000</v>
      </c>
      <c r="T19" s="3">
        <v>0</v>
      </c>
      <c r="U19" s="3">
        <v>0</v>
      </c>
      <c r="V19" s="3">
        <v>0</v>
      </c>
      <c r="W19" s="3">
        <v>0</v>
      </c>
      <c r="X19" s="3">
        <v>-286400</v>
      </c>
      <c r="Y19" s="3">
        <v>-100000</v>
      </c>
      <c r="Z19" s="3">
        <v>-1250</v>
      </c>
      <c r="AA19" s="3">
        <v>-14320</v>
      </c>
      <c r="AB19" s="3">
        <v>-350</v>
      </c>
      <c r="AC19" s="3">
        <v>-61576</v>
      </c>
      <c r="AD19" s="3">
        <v>0</v>
      </c>
      <c r="AE19" s="3">
        <v>0</v>
      </c>
      <c r="AF19" s="3">
        <v>0</v>
      </c>
      <c r="AG19" s="3">
        <v>2392104</v>
      </c>
      <c r="AH19" s="3" t="s">
        <v>54</v>
      </c>
      <c r="AI19" s="3">
        <v>0</v>
      </c>
      <c r="AJ19" s="3">
        <v>0</v>
      </c>
      <c r="AK19" s="3" t="s">
        <v>55</v>
      </c>
      <c r="AL19" s="3" t="s">
        <v>56</v>
      </c>
      <c r="AM19" s="3" t="s"/>
      <c r="AN19" s="3">
        <v>0</v>
      </c>
      <c r="AO19" s="3">
        <v>0</v>
      </c>
      <c r="AP19" s="3">
        <v>0</v>
      </c>
      <c r="AQ19" s="3">
        <v>0</v>
      </c>
      <c r="AR19" s="3">
        <v>0</v>
      </c>
    </row>
    <row r="20">
      <c r="A20" s="3">
        <v>14</v>
      </c>
      <c r="B20" s="3" t="s">
        <v>93</v>
      </c>
      <c r="C20" s="3" t="s"/>
      <c r="D20" s="3" t="s">
        <v>94</v>
      </c>
      <c r="E20" s="3" t="s">
        <v>59</v>
      </c>
      <c r="F20" s="3" t="s">
        <v>69</v>
      </c>
      <c r="G20" s="3" t="s">
        <v>4</v>
      </c>
      <c r="H20" s="3">
        <v>2499000</v>
      </c>
      <c r="I20" s="3">
        <v>0</v>
      </c>
      <c r="J20" s="3">
        <v>0</v>
      </c>
      <c r="K20" s="3">
        <v>0</v>
      </c>
      <c r="L20" s="3">
        <v>-35000</v>
      </c>
      <c r="M20" s="3">
        <v>0</v>
      </c>
      <c r="N20" s="3">
        <v>0</v>
      </c>
      <c r="O20" s="3">
        <v>0</v>
      </c>
      <c r="P20" s="3">
        <v>20000</v>
      </c>
      <c r="Q20" s="3">
        <v>0</v>
      </c>
      <c r="R20" s="3">
        <v>60000</v>
      </c>
      <c r="S20" s="3">
        <v>-80000</v>
      </c>
      <c r="T20" s="3">
        <v>0</v>
      </c>
      <c r="U20" s="3">
        <v>0</v>
      </c>
      <c r="V20" s="3">
        <v>0</v>
      </c>
      <c r="W20" s="3">
        <v>0</v>
      </c>
      <c r="X20" s="3">
        <v>-221760</v>
      </c>
      <c r="Y20" s="3">
        <v>-100000</v>
      </c>
      <c r="Z20" s="3">
        <v>-1250</v>
      </c>
      <c r="AA20" s="3">
        <v>-12320</v>
      </c>
      <c r="AB20" s="3">
        <v>-350</v>
      </c>
      <c r="AC20" s="3">
        <v>0</v>
      </c>
      <c r="AD20" s="3">
        <v>0</v>
      </c>
      <c r="AE20" s="3">
        <v>0</v>
      </c>
      <c r="AF20" s="3">
        <v>0</v>
      </c>
      <c r="AG20" s="3">
        <v>2128320</v>
      </c>
      <c r="AH20" s="3" t="s">
        <v>54</v>
      </c>
      <c r="AI20" s="3">
        <v>0</v>
      </c>
      <c r="AJ20" s="3">
        <v>0</v>
      </c>
      <c r="AK20" s="3" t="s">
        <v>55</v>
      </c>
      <c r="AL20" s="3" t="s">
        <v>56</v>
      </c>
      <c r="AM20" s="3" t="s"/>
      <c r="AN20" s="3">
        <v>0</v>
      </c>
      <c r="AO20" s="3">
        <v>0</v>
      </c>
      <c r="AP20" s="3">
        <v>0</v>
      </c>
      <c r="AQ20" s="3">
        <v>0</v>
      </c>
      <c r="AR20" s="3">
        <v>0</v>
      </c>
    </row>
    <row r="21">
      <c r="A21" s="3">
        <v>15</v>
      </c>
      <c r="B21" s="3" t="s">
        <v>95</v>
      </c>
      <c r="C21" s="3" t="s"/>
      <c r="D21" s="3" t="s">
        <v>96</v>
      </c>
      <c r="E21" s="3" t="s">
        <v>97</v>
      </c>
      <c r="F21" s="3" t="s">
        <v>64</v>
      </c>
      <c r="G21" s="3" t="s">
        <v>4</v>
      </c>
      <c r="H21" s="3">
        <v>2899000</v>
      </c>
      <c r="I21" s="3">
        <v>0</v>
      </c>
      <c r="J21" s="3">
        <v>0</v>
      </c>
      <c r="K21" s="3">
        <v>0</v>
      </c>
      <c r="L21" s="3">
        <v>-35000</v>
      </c>
      <c r="M21" s="3">
        <v>0</v>
      </c>
      <c r="N21" s="3">
        <v>0</v>
      </c>
      <c r="O21" s="3">
        <v>0</v>
      </c>
      <c r="P21" s="3">
        <v>0</v>
      </c>
      <c r="Q21" s="3">
        <v>0</v>
      </c>
      <c r="R21" s="3">
        <v>52000</v>
      </c>
      <c r="S21" s="3">
        <v>-52000</v>
      </c>
      <c r="T21" s="3">
        <v>0</v>
      </c>
      <c r="U21" s="3">
        <v>0</v>
      </c>
      <c r="V21" s="3">
        <v>0</v>
      </c>
      <c r="W21" s="3">
        <v>-15084</v>
      </c>
      <c r="X21" s="3">
        <v>-257760</v>
      </c>
      <c r="Y21" s="3">
        <v>-100000</v>
      </c>
      <c r="Z21" s="3">
        <v>-1250</v>
      </c>
      <c r="AA21" s="3">
        <v>-14320</v>
      </c>
      <c r="AB21" s="3">
        <v>-350</v>
      </c>
      <c r="AC21" s="3">
        <v>-67945</v>
      </c>
      <c r="AD21" s="3">
        <v>0</v>
      </c>
      <c r="AE21" s="3">
        <v>0</v>
      </c>
      <c r="AF21" s="3">
        <v>0</v>
      </c>
      <c r="AG21" s="3">
        <v>2407291</v>
      </c>
      <c r="AH21" s="3" t="s">
        <v>54</v>
      </c>
      <c r="AI21" s="3">
        <v>0</v>
      </c>
      <c r="AJ21" s="3">
        <v>0</v>
      </c>
      <c r="AK21" s="3" t="s">
        <v>55</v>
      </c>
      <c r="AL21" s="3" t="s">
        <v>56</v>
      </c>
      <c r="AM21" s="3" t="s"/>
      <c r="AN21" s="3">
        <v>0</v>
      </c>
      <c r="AO21" s="3">
        <v>0</v>
      </c>
      <c r="AP21" s="3">
        <v>0</v>
      </c>
      <c r="AQ21" s="3">
        <v>0</v>
      </c>
      <c r="AR21" s="3">
        <v>0</v>
      </c>
    </row>
    <row r="22">
      <c r="A22" s="3">
        <v>16</v>
      </c>
      <c r="B22" s="3" t="s">
        <v>98</v>
      </c>
      <c r="C22" s="3" t="s"/>
      <c r="D22" s="3" t="s">
        <v>99</v>
      </c>
      <c r="E22" s="3" t="s">
        <v>59</v>
      </c>
      <c r="F22" s="3" t="s">
        <v>64</v>
      </c>
      <c r="G22" s="3" t="s">
        <v>4</v>
      </c>
      <c r="H22" s="3">
        <v>2099000</v>
      </c>
      <c r="I22" s="3">
        <v>0</v>
      </c>
      <c r="J22" s="3">
        <v>0</v>
      </c>
      <c r="K22" s="3">
        <v>0</v>
      </c>
      <c r="L22" s="3">
        <v>-35000</v>
      </c>
      <c r="M22" s="3">
        <v>0</v>
      </c>
      <c r="N22" s="3">
        <v>0</v>
      </c>
      <c r="O22" s="3">
        <v>0</v>
      </c>
      <c r="P22" s="3">
        <v>14000</v>
      </c>
      <c r="Q22" s="3">
        <v>0</v>
      </c>
      <c r="R22" s="3">
        <v>10000</v>
      </c>
      <c r="S22" s="3">
        <v>-46000</v>
      </c>
      <c r="T22" s="3">
        <v>0</v>
      </c>
      <c r="U22" s="3">
        <v>0</v>
      </c>
      <c r="V22" s="3">
        <v>0</v>
      </c>
      <c r="W22" s="3">
        <v>0</v>
      </c>
      <c r="X22" s="3">
        <v>-185760</v>
      </c>
      <c r="Y22" s="3">
        <v>-100000</v>
      </c>
      <c r="Z22" s="3">
        <v>-1250</v>
      </c>
      <c r="AA22" s="3">
        <v>-10320</v>
      </c>
      <c r="AB22" s="3">
        <v>-350</v>
      </c>
      <c r="AC22" s="3">
        <v>0</v>
      </c>
      <c r="AD22" s="3">
        <v>0</v>
      </c>
      <c r="AE22" s="3">
        <v>0</v>
      </c>
      <c r="AF22" s="3">
        <v>0</v>
      </c>
      <c r="AG22" s="3">
        <v>1744320</v>
      </c>
      <c r="AH22" s="3" t="s">
        <v>54</v>
      </c>
      <c r="AI22" s="3">
        <v>0</v>
      </c>
      <c r="AJ22" s="3">
        <v>0</v>
      </c>
      <c r="AK22" s="3" t="s">
        <v>56</v>
      </c>
      <c r="AL22" s="3" t="s">
        <v>56</v>
      </c>
      <c r="AM22" s="3" t="s"/>
      <c r="AN22" s="3">
        <v>0</v>
      </c>
      <c r="AO22" s="3">
        <v>0</v>
      </c>
      <c r="AP22" s="3">
        <v>0</v>
      </c>
      <c r="AQ22" s="3">
        <v>0</v>
      </c>
      <c r="AR22" s="3">
        <v>0</v>
      </c>
    </row>
  </sheetData>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sheetPr>
    <pageSetUpPr/>
  </sheetPr>
  <dimension ref="A1:O13"/>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style="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5" min="2" style="1" width="10"/>
  </cols>
  <sheetData>
    <row r="1" ht="50" customHeight="true">
      <c r="A1" s="4" t="s">
        <v>100</v>
      </c>
      <c r="B1" s="4" t="s"/>
      <c r="C1" s="4" t="s"/>
      <c r="D1" s="4" t="s"/>
      <c r="E1" s="4" t="s"/>
      <c r="F1" s="4" t="s"/>
      <c r="G1" s="4" t="s"/>
      <c r="H1" s="4" t="s"/>
      <c r="I1" s="4" t="s"/>
      <c r="J1" s="4" t="s"/>
      <c r="K1" s="4" t="s"/>
      <c r="L1" s="4" t="s"/>
      <c r="M1" s="4" t="s"/>
      <c r="N1" s="4" t="s"/>
      <c r="O1" s="4" t="s"/>
    </row>
    <row r="2">
      <c r="A2" s="5" t="s">
        <v>8</v>
      </c>
      <c r="B2" s="5" t="s">
        <v>101</v>
      </c>
      <c r="C2" s="5" t="s">
        <v>102</v>
      </c>
      <c r="D2" s="5" t="s">
        <v>103</v>
      </c>
      <c r="E2" s="5" t="s"/>
      <c r="F2" s="5" t="s"/>
      <c r="G2" s="5" t="s"/>
    </row>
    <row r="3">
      <c r="A3" s="6" t="s">
        <v>84</v>
      </c>
      <c r="B3" s="6">
        <v>10000</v>
      </c>
      <c r="C3" s="6">
        <v>10200</v>
      </c>
      <c r="D3" s="6" t="s">
        <v>104</v>
      </c>
      <c r="E3" s="6" t="s"/>
      <c r="F3" s="6" t="s"/>
      <c r="G3" s="6" t="s"/>
    </row>
    <row r="4">
      <c r="A4" s="6" t="s">
        <v>88</v>
      </c>
      <c r="B4" s="6">
        <v>46000</v>
      </c>
      <c r="C4" s="6">
        <v>80000</v>
      </c>
      <c r="D4" s="6" t="s">
        <v>104</v>
      </c>
      <c r="E4" s="6" t="s"/>
      <c r="F4" s="6" t="s"/>
      <c r="G4" s="6" t="s"/>
    </row>
    <row r="5">
      <c r="A5" s="6" t="s">
        <v>70</v>
      </c>
      <c r="B5" s="6">
        <v>8500</v>
      </c>
      <c r="C5" s="6">
        <v>34500</v>
      </c>
      <c r="D5" s="6" t="s">
        <v>104</v>
      </c>
      <c r="E5" s="6" t="s"/>
      <c r="F5" s="6" t="s"/>
      <c r="G5" s="6" t="s"/>
    </row>
    <row r="6">
      <c r="A6" s="6" t="s">
        <v>62</v>
      </c>
      <c r="B6" s="6">
        <v>10000</v>
      </c>
      <c r="C6" s="6">
        <v>12800</v>
      </c>
      <c r="D6" s="6" t="s">
        <v>104</v>
      </c>
      <c r="E6" s="6" t="s"/>
      <c r="F6" s="6" t="s"/>
      <c r="G6" s="6" t="s"/>
    </row>
    <row r="7">
      <c r="A7" s="6" t="s">
        <v>66</v>
      </c>
      <c r="B7" s="6">
        <v>8500</v>
      </c>
      <c r="C7" s="6">
        <v>28500</v>
      </c>
      <c r="D7" s="6" t="s">
        <v>104</v>
      </c>
      <c r="E7" s="6" t="s"/>
      <c r="F7" s="6" t="s"/>
      <c r="G7" s="6" t="s"/>
    </row>
    <row r="8">
      <c r="A8" s="6" t="s">
        <v>73</v>
      </c>
      <c r="B8" s="6">
        <v>10000</v>
      </c>
      <c r="C8" s="6">
        <v>13000</v>
      </c>
      <c r="D8" s="6" t="s">
        <v>104</v>
      </c>
      <c r="E8" s="6" t="s"/>
      <c r="F8" s="6" t="s"/>
      <c r="G8" s="6" t="s"/>
    </row>
    <row r="9">
      <c r="A9" s="6" t="s">
        <v>91</v>
      </c>
      <c r="B9" s="6">
        <v>10000</v>
      </c>
      <c r="C9" s="6">
        <v>18000</v>
      </c>
      <c r="D9" s="6" t="s">
        <v>104</v>
      </c>
      <c r="E9" s="6" t="s"/>
      <c r="F9" s="6" t="s"/>
      <c r="G9" s="6" t="s"/>
    </row>
    <row r="10">
      <c r="A10" s="6" t="s">
        <v>98</v>
      </c>
      <c r="B10" s="6">
        <v>24000</v>
      </c>
      <c r="C10" s="6">
        <v>46000</v>
      </c>
      <c r="D10" s="6" t="s">
        <v>104</v>
      </c>
      <c r="E10" s="6" t="s"/>
      <c r="F10" s="6" t="s"/>
      <c r="G10" s="6" t="s"/>
    </row>
    <row r="11">
      <c r="A11" s="6" t="s">
        <v>50</v>
      </c>
      <c r="B11" s="6">
        <v>54000</v>
      </c>
      <c r="C11" s="6">
        <v>78000</v>
      </c>
      <c r="D11" s="6" t="s">
        <v>104</v>
      </c>
      <c r="E11" s="6" t="s"/>
      <c r="F11" s="6" t="s"/>
      <c r="G11" s="6" t="s"/>
    </row>
    <row r="12">
      <c r="A12" s="6" t="s">
        <v>57</v>
      </c>
      <c r="B12" s="6">
        <v>8500</v>
      </c>
      <c r="C12" s="6">
        <v>29500</v>
      </c>
      <c r="D12" s="6" t="s">
        <v>104</v>
      </c>
      <c r="E12" s="6" t="s"/>
      <c r="F12" s="6" t="s"/>
      <c r="G12" s="6" t="s"/>
    </row>
    <row r="13">
      <c r="A13" s="6" t="s">
        <v>86</v>
      </c>
      <c r="B13" s="6">
        <v>36000</v>
      </c>
      <c r="C13" s="6">
        <v>62000</v>
      </c>
      <c r="D13" s="6" t="s">
        <v>104</v>
      </c>
      <c r="E13" s="6" t="s"/>
      <c r="F13" s="6" t="s"/>
      <c r="G13" s="6" t="s"/>
    </row>
  </sheetData>
  <mergeCells count="1">
    <mergeCell ref="A1:O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sheetPr>
  <dimension ref="A1:D94"/>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7" width="25"/>
    <col customWidth="true" max="16384" min="1" style="7" width="25"/>
    <col customWidth="true" max="16384" min="1" style="7" width="25"/>
    <col customWidth="true" max="16384" min="1" style="7" width="25"/>
    <col customWidth="true" max="1" min="1" style="1" width="25"/>
    <col customWidth="true" max="16384" min="1" style="7" width="25"/>
    <col customWidth="true" max="16384" min="1" style="7" width="25"/>
    <col customWidth="true" max="16384" min="1" style="7" width="25"/>
    <col customWidth="true" max="16384" min="1" style="7" width="25"/>
    <col customWidth="true" max="4" min="2" style="1" width="25"/>
  </cols>
  <sheetData>
    <row r="1" ht="17.25" customHeight="true">
      <c r="A1" s="8" t="s">
        <v>105</v>
      </c>
      <c r="B1" s="9" t="s"/>
      <c r="C1" s="9" t="s"/>
      <c r="D1" s="9" t="s"/>
    </row>
    <row r="2" ht="18.35" customHeight="true">
      <c r="A2" s="9" t="s"/>
      <c r="B2" s="9" t="s"/>
      <c r="C2" s="9" t="s"/>
      <c r="D2" s="9" t="s"/>
    </row>
    <row r="3" ht="18.35" customHeight="true">
      <c r="A3" s="9" t="s"/>
      <c r="B3" s="9" t="s"/>
      <c r="C3" s="9" t="s"/>
      <c r="D3" s="9" t="s"/>
    </row>
    <row r="4" ht="18.35" customHeight="true">
      <c r="A4" s="9" t="s"/>
      <c r="B4" s="9" t="s"/>
      <c r="C4" s="9" t="s"/>
      <c r="D4" s="9" t="s"/>
    </row>
    <row r="5" ht="18" customHeight="true">
      <c r="A5" s="10" t="s">
        <v>106</v>
      </c>
      <c r="B5" s="10" t="s"/>
      <c r="C5" s="10" t="s"/>
      <c r="D5" s="10" t="s"/>
    </row>
    <row r="6" ht="15.5" customHeight="true">
      <c r="A6" s="11" t="s">
        <v>0</v>
      </c>
      <c r="B6" s="12" t="s">
        <v>3</v>
      </c>
      <c r="C6" s="12" t="s"/>
      <c r="D6" s="12" t="s"/>
    </row>
    <row r="7" ht="15.5" customHeight="true">
      <c r="A7" s="11" t="s">
        <v>1</v>
      </c>
      <c r="B7" s="12" t="s">
        <v>4</v>
      </c>
      <c r="C7" s="12" t="s"/>
      <c r="D7" s="12" t="s"/>
    </row>
    <row r="8" ht="15.5" customHeight="true">
      <c r="A8" s="11" t="s">
        <v>2</v>
      </c>
      <c r="B8" s="12" t="s">
        <v>5</v>
      </c>
      <c r="C8" s="12" t="s"/>
      <c r="D8" s="12" t="s"/>
    </row>
    <row r="9" ht="18.35" customHeight="true">
      <c r="A9" s="13" t="s"/>
      <c r="B9" s="14" t="s"/>
      <c r="C9" s="14" t="s"/>
      <c r="D9" s="14" t="s"/>
    </row>
    <row r="10" ht="20.4" customHeight="true">
      <c r="A10" s="15" t="s">
        <v>107</v>
      </c>
      <c r="B10" s="15" t="s"/>
      <c r="C10" s="15" t="s"/>
      <c r="D10" s="15" t="s">
        <v>108</v>
      </c>
    </row>
    <row r="11">
      <c r="A11" s="16" t="s">
        <v>109</v>
      </c>
      <c r="B11" s="16" t="s"/>
      <c r="C11" s="16" t="s"/>
      <c r="D11" s="16">
        <v>36099000</v>
      </c>
    </row>
    <row r="12">
      <c r="A12" s="17" t="s">
        <v>110</v>
      </c>
      <c r="B12" s="17" t="s"/>
      <c r="C12" s="17" t="s"/>
      <c r="D12" s="17">
        <v>36484000</v>
      </c>
    </row>
    <row r="13">
      <c r="A13" s="2" t="s"/>
      <c r="B13" s="2" t="s">
        <v>14</v>
      </c>
      <c r="C13" s="2">
        <v>36484000</v>
      </c>
      <c r="D13" s="2" t="s"/>
    </row>
    <row r="14">
      <c r="A14" s="2" t="s"/>
      <c r="B14" s="2" t="s">
        <v>15</v>
      </c>
      <c r="C14" s="2">
        <v>0</v>
      </c>
      <c r="D14" s="2" t="s"/>
    </row>
    <row r="15">
      <c r="A15" s="2" t="s"/>
      <c r="B15" s="2" t="s">
        <v>16</v>
      </c>
      <c r="C15" s="2">
        <v>0</v>
      </c>
      <c r="D15" s="2" t="s"/>
    </row>
    <row r="16">
      <c r="A16" s="2" t="s"/>
      <c r="B16" s="2" t="s"/>
      <c r="C16" s="2" t="s"/>
      <c r="D16" s="2" t="s"/>
    </row>
    <row r="17">
      <c r="A17" s="17" t="s">
        <v>111</v>
      </c>
      <c r="B17" s="17" t="s"/>
      <c r="C17" s="17" t="s"/>
      <c r="D17" s="17">
        <v>-385000</v>
      </c>
    </row>
    <row r="18">
      <c r="A18" s="2" t="s"/>
      <c r="B18" s="2" t="s">
        <v>17</v>
      </c>
      <c r="C18" s="2">
        <v>0</v>
      </c>
      <c r="D18" s="2" t="s"/>
    </row>
    <row r="19">
      <c r="A19" s="2" t="s"/>
      <c r="B19" s="2" t="s">
        <v>18</v>
      </c>
      <c r="C19" s="2">
        <v>-385000</v>
      </c>
      <c r="D19" s="2" t="s"/>
    </row>
    <row r="20">
      <c r="A20" s="2" t="s"/>
      <c r="B20" s="2" t="s">
        <v>19</v>
      </c>
      <c r="C20" s="2">
        <v>0</v>
      </c>
      <c r="D20" s="2" t="s"/>
    </row>
    <row r="21">
      <c r="A21" s="2" t="s"/>
      <c r="B21" s="2" t="s">
        <v>20</v>
      </c>
      <c r="C21" s="2">
        <v>0</v>
      </c>
      <c r="D21" s="2" t="s"/>
    </row>
    <row r="22">
      <c r="A22" s="2" t="s"/>
      <c r="B22" s="2" t="s">
        <v>21</v>
      </c>
      <c r="C22" s="2">
        <v>0</v>
      </c>
      <c r="D22" s="2" t="s"/>
    </row>
    <row r="23">
      <c r="A23" s="1" t="s"/>
      <c r="B23" s="2" t="s"/>
      <c r="C23" s="2" t="s"/>
      <c r="D23" s="2" t="s"/>
    </row>
    <row r="24">
      <c r="A24" s="16" t="s">
        <v>112</v>
      </c>
      <c r="B24" s="16" t="s"/>
      <c r="C24" s="16" t="s"/>
      <c r="D24" s="16">
        <v>-5796844</v>
      </c>
    </row>
    <row r="25">
      <c r="A25" s="17" t="s">
        <v>113</v>
      </c>
      <c r="B25" s="17" t="s"/>
      <c r="C25" s="17" t="s"/>
      <c r="D25" s="17">
        <v>-135000</v>
      </c>
    </row>
    <row r="26">
      <c r="A26" s="2" t="s"/>
      <c r="B26" s="2" t="s">
        <v>22</v>
      </c>
      <c r="C26" s="2">
        <v>77600</v>
      </c>
      <c r="D26" s="2" t="s"/>
    </row>
    <row r="27">
      <c r="A27" s="2" t="s"/>
      <c r="B27" s="2" t="s">
        <v>23</v>
      </c>
      <c r="C27" s="2">
        <v>0</v>
      </c>
      <c r="D27" s="2" t="s"/>
    </row>
    <row r="28">
      <c r="A28" s="2" t="s"/>
      <c r="B28" s="2" t="s">
        <v>24</v>
      </c>
      <c r="C28" s="2">
        <v>471500</v>
      </c>
      <c r="D28" s="2" t="s"/>
    </row>
    <row r="29">
      <c r="A29" s="2" t="s"/>
      <c r="B29" s="2" t="s">
        <v>25</v>
      </c>
      <c r="C29" s="2">
        <v>-684100</v>
      </c>
      <c r="D29" s="2" t="s"/>
    </row>
    <row r="30">
      <c r="A30" s="2" t="s"/>
      <c r="B30" s="2" t="s">
        <v>26</v>
      </c>
      <c r="C30" s="2">
        <v>0</v>
      </c>
      <c r="D30" s="2" t="s"/>
    </row>
    <row r="31">
      <c r="A31" s="2" t="s"/>
      <c r="B31" s="2" t="s">
        <v>28</v>
      </c>
      <c r="C31" s="2">
        <v>0</v>
      </c>
      <c r="D31" s="2" t="s"/>
    </row>
    <row r="32">
      <c r="A32" s="2" t="s"/>
      <c r="B32" s="2" t="s">
        <v>27</v>
      </c>
      <c r="C32" s="2">
        <v>0</v>
      </c>
      <c r="D32" s="2" t="s"/>
    </row>
    <row r="33">
      <c r="A33" s="2" t="s"/>
      <c r="B33" s="2" t="s"/>
      <c r="C33" s="2" t="s"/>
      <c r="D33" s="2" t="s"/>
    </row>
    <row r="34">
      <c r="A34" s="17" t="s">
        <v>114</v>
      </c>
      <c r="B34" s="17" t="s"/>
      <c r="C34" s="17" t="s"/>
      <c r="D34" s="17">
        <v>-5661844</v>
      </c>
    </row>
    <row r="35">
      <c r="A35" s="2" t="s"/>
      <c r="B35" s="2" t="s">
        <v>29</v>
      </c>
      <c r="C35" s="2">
        <v>-195165</v>
      </c>
      <c r="D35" s="2" t="s"/>
    </row>
    <row r="36">
      <c r="A36" s="2" t="s"/>
      <c r="B36" s="2" t="s">
        <v>30</v>
      </c>
      <c r="C36" s="2">
        <v>-3307190</v>
      </c>
      <c r="D36" s="2" t="s"/>
    </row>
    <row r="37">
      <c r="A37" s="2" t="s"/>
      <c r="B37" s="2" t="s">
        <v>31</v>
      </c>
      <c r="C37" s="2">
        <v>-1620000</v>
      </c>
      <c r="D37" s="2" t="s"/>
    </row>
    <row r="38">
      <c r="A38" s="2" t="s"/>
      <c r="B38" s="2" t="s">
        <v>32</v>
      </c>
      <c r="C38" s="2">
        <v>-20000</v>
      </c>
      <c r="D38" s="2" t="s"/>
    </row>
    <row r="39">
      <c r="A39" s="2" t="s"/>
      <c r="B39" s="2" t="s">
        <v>33</v>
      </c>
      <c r="C39" s="2">
        <v>-180495</v>
      </c>
      <c r="D39" s="2" t="s"/>
    </row>
    <row r="40">
      <c r="A40" s="2" t="s"/>
      <c r="B40" s="2" t="s">
        <v>34</v>
      </c>
      <c r="C40" s="2">
        <v>-5600</v>
      </c>
      <c r="D40" s="2" t="s"/>
    </row>
    <row r="41">
      <c r="A41" s="2" t="s"/>
      <c r="B41" s="2" t="s">
        <v>35</v>
      </c>
      <c r="C41" s="2">
        <v>-333394</v>
      </c>
      <c r="D41" s="2" t="s"/>
    </row>
    <row r="42">
      <c r="A42" s="2" t="s"/>
      <c r="B42" s="2" t="s">
        <v>36</v>
      </c>
      <c r="C42" s="2">
        <v>0</v>
      </c>
      <c r="D42" s="2" t="s"/>
    </row>
    <row r="43">
      <c r="A43" s="2" t="s"/>
      <c r="B43" s="2" t="s">
        <v>38</v>
      </c>
      <c r="C43" s="2">
        <v>0</v>
      </c>
      <c r="D43" s="2" t="s"/>
    </row>
    <row r="44">
      <c r="A44" s="2" t="s"/>
      <c r="B44" s="2" t="s"/>
      <c r="C44" s="2" t="s"/>
      <c r="D44" s="2" t="s"/>
    </row>
    <row r="45">
      <c r="A45" s="2" t="s"/>
      <c r="B45" s="2" t="s"/>
      <c r="C45" s="2" t="s"/>
      <c r="D45" s="2" t="s"/>
    </row>
    <row r="46">
      <c r="A46" s="1" t="s"/>
      <c r="B46" s="2" t="s"/>
      <c r="C46" s="2" t="s"/>
      <c r="D46" s="2" t="s"/>
    </row>
    <row r="47"/>
    <row r="48">
      <c r="A48" s="18" t="s">
        <v>115</v>
      </c>
      <c r="B48" s="18" t="s"/>
      <c r="C48" s="18" t="s"/>
      <c r="D48" s="18">
        <v>30302156</v>
      </c>
    </row>
    <row r="49">
      <c r="A49" s="7" t="s"/>
    </row>
    <row r="50">
      <c r="A50" s="18" t="s">
        <v>116</v>
      </c>
      <c r="B50" s="18" t="s"/>
      <c r="C50" s="18" t="s"/>
      <c r="D50" s="18" t="s"/>
    </row>
    <row r="51">
      <c r="A51" s="19" t="s">
        <v>42</v>
      </c>
      <c r="B51" s="19" t="s"/>
      <c r="C51" s="19" t="s"/>
      <c r="D51" s="19">
        <v>0</v>
      </c>
    </row>
    <row r="52" ht="15.2" customHeight="true">
      <c r="A52" s="20" t="s"/>
    </row>
    <row r="53">
      <c r="A53" s="2" t="s"/>
      <c r="B53" s="20" t="s"/>
      <c r="C53" s="20" t="s"/>
      <c r="D53" s="20" t="s"/>
    </row>
    <row r="54">
      <c r="A54" s="20" t="s"/>
      <c r="B54" s="2" t="s"/>
      <c r="C54" s="2" t="s"/>
      <c r="D54" s="2" t="s"/>
    </row>
    <row r="55">
      <c r="A55" s="2" t="s"/>
      <c r="B55" s="2" t="s"/>
      <c r="C55" s="2" t="s"/>
      <c r="D55" s="2" t="s"/>
    </row>
    <row r="56">
      <c r="A56" s="2" t="s"/>
      <c r="B56" s="2" t="s"/>
      <c r="C56" s="2" t="s"/>
      <c r="D56" s="2" t="s"/>
    </row>
    <row r="57">
      <c r="A57" s="2" t="s"/>
      <c r="B57" s="2" t="s"/>
      <c r="C57" s="2" t="s"/>
      <c r="D57" s="2" t="s"/>
    </row>
    <row r="58">
      <c r="A58" s="2" t="s"/>
      <c r="B58" s="2" t="s"/>
      <c r="C58" s="2" t="s"/>
      <c r="D58" s="2" t="s"/>
    </row>
    <row r="59">
      <c r="A59" s="2" t="s"/>
      <c r="B59" s="2" t="s"/>
      <c r="C59" s="2" t="s"/>
      <c r="D59" s="2" t="s"/>
    </row>
    <row r="60">
      <c r="A60" s="2" t="s"/>
      <c r="B60" s="2" t="s"/>
      <c r="C60" s="2" t="s"/>
      <c r="D60" s="2" t="s"/>
    </row>
    <row r="61">
      <c r="A61" s="2" t="s"/>
      <c r="B61" s="2" t="s"/>
      <c r="C61" s="2" t="s"/>
      <c r="D61" s="2" t="s"/>
    </row>
    <row r="62">
      <c r="A62" s="2" t="s"/>
      <c r="B62" s="2" t="s"/>
      <c r="C62" s="2" t="s"/>
      <c r="D62" s="2" t="s"/>
    </row>
    <row r="63">
      <c r="A63" s="2" t="s"/>
      <c r="B63" s="2" t="s"/>
      <c r="C63" s="2" t="s"/>
      <c r="D63" s="2" t="s"/>
    </row>
    <row r="64">
      <c r="A64" s="2" t="s"/>
      <c r="B64" s="2" t="s"/>
      <c r="C64" s="2" t="s"/>
      <c r="D64" s="2" t="s"/>
    </row>
    <row r="65">
      <c r="A65" s="2" t="s"/>
      <c r="B65" s="20" t="s"/>
      <c r="C65" s="20" t="s"/>
      <c r="D65" s="20" t="s"/>
    </row>
    <row r="66">
      <c r="A66" s="20" t="s"/>
      <c r="B66" s="2" t="s"/>
      <c r="C66" s="2" t="s"/>
      <c r="D66" s="2" t="s"/>
    </row>
    <row r="67">
      <c r="A67" s="2" t="s"/>
      <c r="B67" s="2" t="s"/>
      <c r="C67" s="2" t="s"/>
      <c r="D67" s="2" t="s"/>
    </row>
    <row r="68">
      <c r="A68" s="2" t="s"/>
      <c r="B68" s="2" t="s"/>
      <c r="C68" s="2" t="s"/>
      <c r="D68" s="2" t="s"/>
    </row>
    <row r="69">
      <c r="A69" s="2" t="s"/>
      <c r="B69" s="20" t="s"/>
      <c r="C69" s="20" t="s"/>
      <c r="D69" s="2" t="s"/>
    </row>
    <row r="70">
      <c r="A70" s="20" t="s"/>
      <c r="B70" s="20" t="s"/>
      <c r="C70" s="20" t="s"/>
      <c r="D70" s="20" t="s"/>
    </row>
    <row r="71">
      <c r="A71" s="20" t="s"/>
      <c r="B71" s="2" t="s"/>
      <c r="C71" s="2" t="s"/>
      <c r="D71" s="2" t="s"/>
    </row>
    <row r="72">
      <c r="A72" s="2" t="s"/>
      <c r="B72" s="2" t="s"/>
      <c r="C72" s="2" t="s"/>
      <c r="D72" s="2" t="s"/>
    </row>
    <row r="73">
      <c r="A73" s="2" t="s"/>
      <c r="B73" s="2" t="s"/>
      <c r="C73" s="2" t="s"/>
      <c r="D73" s="2" t="s"/>
    </row>
    <row r="74">
      <c r="A74" s="2" t="s"/>
      <c r="B74" s="2" t="s"/>
      <c r="C74" s="2" t="s"/>
      <c r="D74" s="2" t="s"/>
    </row>
    <row r="75">
      <c r="A75" s="2" t="s"/>
      <c r="B75" s="20" t="s"/>
      <c r="C75" s="20" t="s"/>
      <c r="D75" s="20" t="s"/>
    </row>
    <row r="76">
      <c r="A76" s="20" t="s"/>
      <c r="B76" s="2" t="s"/>
      <c r="C76" s="2" t="s"/>
      <c r="D76" s="2" t="s"/>
    </row>
    <row r="77">
      <c r="A77" s="2" t="s"/>
      <c r="B77" s="2" t="s"/>
      <c r="C77" s="2" t="s"/>
      <c r="D77" s="2" t="s"/>
    </row>
    <row r="78">
      <c r="A78" s="2" t="s"/>
      <c r="B78" s="2" t="s"/>
      <c r="C78" s="2" t="s"/>
      <c r="D78" s="2" t="s"/>
    </row>
    <row r="79">
      <c r="A79" s="2" t="s"/>
      <c r="B79" s="2" t="s"/>
      <c r="C79" s="2" t="s"/>
      <c r="D79" s="2" t="s"/>
    </row>
    <row r="80">
      <c r="A80" s="2" t="s"/>
      <c r="B80" s="20" t="s"/>
      <c r="C80" s="20" t="s"/>
      <c r="D80" s="20" t="s"/>
    </row>
    <row r="81">
      <c r="A81" s="20" t="s"/>
      <c r="B81" s="2" t="s"/>
      <c r="C81" s="2" t="s"/>
      <c r="D81" s="2" t="s"/>
    </row>
    <row r="82">
      <c r="A82" s="2" t="s"/>
      <c r="B82" s="2" t="s"/>
      <c r="C82" s="2" t="s"/>
      <c r="D82" s="2" t="s"/>
    </row>
    <row r="83">
      <c r="A83" s="2" t="s"/>
      <c r="B83" s="2" t="s"/>
      <c r="C83" s="2" t="s"/>
      <c r="D83" s="2" t="s"/>
    </row>
    <row r="84">
      <c r="A84" s="2" t="s"/>
      <c r="B84" s="20" t="s"/>
      <c r="C84" s="20" t="s"/>
      <c r="D84" s="20" t="s"/>
    </row>
    <row r="85">
      <c r="A85" s="20" t="s"/>
      <c r="B85" s="2" t="s"/>
      <c r="C85" s="2" t="s"/>
      <c r="D85" s="2" t="s"/>
    </row>
    <row r="86">
      <c r="A86" s="2" t="s"/>
      <c r="B86" s="20" t="s"/>
      <c r="C86" s="20" t="s"/>
      <c r="D86" s="20" t="s"/>
    </row>
    <row r="87">
      <c r="A87" s="20" t="s"/>
      <c r="B87" s="2" t="s"/>
      <c r="C87" s="2" t="s"/>
      <c r="D87" s="2" t="s"/>
    </row>
    <row r="88">
      <c r="A88" s="2" t="s"/>
      <c r="B88" s="20" t="s"/>
      <c r="C88" s="20" t="s"/>
      <c r="D88" s="20" t="s"/>
    </row>
    <row r="89">
      <c r="A89" s="20" t="s"/>
      <c r="B89" s="2" t="s"/>
      <c r="C89" s="2" t="s"/>
      <c r="D89" s="2" t="s"/>
    </row>
    <row r="90">
      <c r="A90" s="2" t="s"/>
      <c r="B90" s="20" t="s"/>
      <c r="C90" s="20" t="s"/>
      <c r="D90" s="20" t="s"/>
    </row>
    <row r="91">
      <c r="A91" s="20" t="s"/>
      <c r="B91" s="2" t="s"/>
      <c r="C91" s="2" t="s"/>
      <c r="D91" s="2" t="s"/>
    </row>
    <row r="92">
      <c r="A92" s="2" t="s"/>
      <c r="B92" s="2" t="s"/>
      <c r="C92" s="2" t="s"/>
      <c r="D92" s="2" t="s"/>
    </row>
    <row r="93">
      <c r="A93" s="2" t="s"/>
      <c r="B93" s="2" t="s"/>
      <c r="C93" s="2" t="s"/>
      <c r="D93" s="2" t="s"/>
    </row>
    <row r="94">
      <c r="A94" s="2" t="s"/>
    </row>
  </sheetData>
  <mergeCells count="15">
    <mergeCell ref="A1:D4"/>
    <mergeCell ref="A5:D5"/>
    <mergeCell ref="B6:D6"/>
    <mergeCell ref="B7:D7"/>
    <mergeCell ref="B8:D8"/>
    <mergeCell ref="A10:C10"/>
    <mergeCell ref="A11:C11"/>
    <mergeCell ref="A12:C12"/>
    <mergeCell ref="A17:C17"/>
    <mergeCell ref="A24:C24"/>
    <mergeCell ref="A25:C25"/>
    <mergeCell ref="A34:C34"/>
    <mergeCell ref="A48:C48"/>
    <mergeCell ref="A50:D50"/>
    <mergeCell ref="A51:C5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sheetPr>
  <dimension ref="A1:J42"/>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3" min="1" style="21" width="10"/>
    <col customWidth="true" max="16383" min="1" style="21" width="10"/>
    <col customWidth="true" max="16383" min="1" style="21" width="10"/>
    <col customWidth="true" max="16383" min="1" style="21" width="10"/>
    <col customWidth="true" max="16383" min="1" style="21" width="10"/>
    <col customWidth="true" max="16383" min="1" style="21" width="10"/>
    <col customWidth="true" max="16383" min="1" style="21" width="10"/>
    <col customWidth="true" max="16383" min="1" style="21" width="10"/>
    <col customWidth="true" max="16383" min="1" style="21" width="10"/>
    <col customWidth="true" max="16383" min="1" style="21" width="10"/>
    <col customWidth="true" max="1" min="1" style="1" width="10"/>
    <col customWidth="true" max="16383" min="1" style="21" width="10"/>
    <col customWidth="true" max="16383" min="1" style="21" width="10"/>
    <col customWidth="true" max="16383" min="1" style="21" width="10"/>
    <col customWidth="true" max="16383" min="1" style="21" width="10"/>
    <col customWidth="true" max="16383" min="1" style="21" width="10"/>
    <col customWidth="true" max="16383" min="1" style="21" width="10"/>
    <col customWidth="true" max="16383" min="1" style="21" width="10"/>
    <col customWidth="true" max="16383" min="1" style="21" width="10"/>
    <col customWidth="true" max="16383" min="1" style="21" width="10"/>
    <col customWidth="true" max="16383" min="1" style="21" width="10"/>
    <col customWidth="true" max="10" min="2" style="1" width="10"/>
  </cols>
  <sheetData>
    <row r="1">
      <c r="A1" s="1" t="s"/>
      <c r="B1" s="1" t="s"/>
      <c r="C1" s="1" t="s"/>
      <c r="D1" s="1" t="s"/>
      <c r="E1" s="1" t="s"/>
      <c r="F1" s="3" t="s"/>
      <c r="G1" s="22" t="s">
        <v>31</v>
      </c>
      <c r="H1" s="22" t="s"/>
      <c r="I1" s="22" t="s"/>
      <c r="J1" s="22" t="s"/>
    </row>
    <row r="2">
      <c r="A2" s="2" t="s">
        <v>7</v>
      </c>
      <c r="B2" s="2" t="s"/>
      <c r="C2" s="2" t="s">
        <v>8</v>
      </c>
      <c r="D2" s="2" t="s">
        <v>117</v>
      </c>
      <c r="E2" s="2" t="s">
        <v>118</v>
      </c>
      <c r="F2" s="3" t="s">
        <v>32</v>
      </c>
      <c r="G2" s="2" t="s">
        <v>119</v>
      </c>
      <c r="H2" s="2" t="s">
        <v>120</v>
      </c>
      <c r="I2" s="2" t="s">
        <v>121</v>
      </c>
      <c r="J2" s="2" t="s">
        <v>122</v>
      </c>
    </row>
    <row r="3">
      <c r="A3" s="2">
        <v>1</v>
      </c>
      <c r="B3" s="2" t="s">
        <v>123</v>
      </c>
      <c r="C3" s="2" t="s">
        <v>75</v>
      </c>
      <c r="D3" s="2" t="s">
        <v>124</v>
      </c>
      <c r="E3" s="2" t="s">
        <v>124</v>
      </c>
      <c r="F3" s="3">
        <v>-1250</v>
      </c>
      <c r="G3" s="2">
        <v>-40000</v>
      </c>
      <c r="H3" s="2">
        <v>0</v>
      </c>
      <c r="I3" s="2">
        <v>-60000</v>
      </c>
      <c r="J3" s="2">
        <v>0</v>
      </c>
    </row>
    <row r="4">
      <c r="A4" s="2">
        <v>2</v>
      </c>
      <c r="B4" s="2" t="s">
        <v>125</v>
      </c>
      <c r="C4" s="2" t="s">
        <v>75</v>
      </c>
      <c r="D4" s="2">
        <v>43580027898</v>
      </c>
      <c r="E4" s="2" t="s">
        <v>126</v>
      </c>
      <c r="F4" s="3">
        <v>-1250</v>
      </c>
      <c r="G4" s="2">
        <v>-40000</v>
      </c>
      <c r="H4" s="2">
        <v>0</v>
      </c>
      <c r="I4" s="2">
        <v>-60000</v>
      </c>
      <c r="J4" s="2">
        <v>0</v>
      </c>
    </row>
    <row r="5">
      <c r="A5" s="2">
        <v>3</v>
      </c>
      <c r="B5" s="2" t="s">
        <v>123</v>
      </c>
      <c r="C5" s="2" t="s">
        <v>78</v>
      </c>
      <c r="D5" s="2" t="s">
        <v>124</v>
      </c>
      <c r="E5" s="2" t="s">
        <v>124</v>
      </c>
      <c r="F5" s="3">
        <v>-1250</v>
      </c>
      <c r="G5" s="2">
        <v>-40000</v>
      </c>
      <c r="H5" s="2">
        <v>0</v>
      </c>
      <c r="I5" s="2">
        <v>-60000</v>
      </c>
      <c r="J5" s="2">
        <v>0</v>
      </c>
    </row>
    <row r="6">
      <c r="A6" s="2">
        <v>4</v>
      </c>
      <c r="B6" s="2" t="s">
        <v>125</v>
      </c>
      <c r="C6" s="2" t="s">
        <v>78</v>
      </c>
      <c r="D6" s="2">
        <v>53557844075</v>
      </c>
      <c r="E6" s="2" t="s">
        <v>127</v>
      </c>
      <c r="F6" s="3">
        <v>-1250</v>
      </c>
      <c r="G6" s="2">
        <v>-40000</v>
      </c>
      <c r="H6" s="2">
        <v>0</v>
      </c>
      <c r="I6" s="2">
        <v>-60000</v>
      </c>
      <c r="J6" s="2">
        <v>0</v>
      </c>
    </row>
    <row r="7">
      <c r="A7" s="2">
        <v>5</v>
      </c>
      <c r="B7" s="2" t="s">
        <v>123</v>
      </c>
      <c r="C7" s="2" t="s">
        <v>81</v>
      </c>
      <c r="D7" s="2" t="s">
        <v>124</v>
      </c>
      <c r="E7" s="2" t="s">
        <v>124</v>
      </c>
      <c r="F7" s="3">
        <v>-1250</v>
      </c>
      <c r="G7" s="2">
        <v>-40000</v>
      </c>
      <c r="H7" s="2">
        <v>0</v>
      </c>
      <c r="I7" s="2">
        <v>-60000</v>
      </c>
      <c r="J7" s="2">
        <v>0</v>
      </c>
    </row>
    <row r="8">
      <c r="A8" s="2">
        <v>6</v>
      </c>
      <c r="B8" s="2" t="s">
        <v>125</v>
      </c>
      <c r="C8" s="2" t="s">
        <v>81</v>
      </c>
      <c r="D8" s="2">
        <v>51703311511</v>
      </c>
      <c r="E8" s="2" t="s">
        <v>128</v>
      </c>
      <c r="F8" s="3">
        <v>-1250</v>
      </c>
      <c r="G8" s="2">
        <v>-40000</v>
      </c>
      <c r="H8" s="2">
        <v>0</v>
      </c>
      <c r="I8" s="2">
        <v>-60000</v>
      </c>
      <c r="J8" s="2">
        <v>0</v>
      </c>
    </row>
    <row r="9">
      <c r="A9" s="2">
        <v>7</v>
      </c>
      <c r="B9" s="2" t="s">
        <v>123</v>
      </c>
      <c r="C9" s="2" t="s">
        <v>84</v>
      </c>
      <c r="D9" s="2" t="s">
        <v>124</v>
      </c>
      <c r="E9" s="2" t="s">
        <v>124</v>
      </c>
      <c r="F9" s="3">
        <v>-1250</v>
      </c>
      <c r="G9" s="2">
        <v>-40000</v>
      </c>
      <c r="H9" s="2">
        <v>0</v>
      </c>
      <c r="I9" s="2">
        <v>-60000</v>
      </c>
      <c r="J9" s="2">
        <v>0</v>
      </c>
    </row>
    <row r="10">
      <c r="A10" s="2">
        <v>8</v>
      </c>
      <c r="B10" s="2" t="s">
        <v>125</v>
      </c>
      <c r="C10" s="2" t="s">
        <v>84</v>
      </c>
      <c r="D10" s="2">
        <v>52859294246</v>
      </c>
      <c r="E10" s="2" t="s">
        <v>129</v>
      </c>
      <c r="F10" s="3">
        <v>-1250</v>
      </c>
      <c r="G10" s="2">
        <v>-40000</v>
      </c>
      <c r="H10" s="2">
        <v>0</v>
      </c>
      <c r="I10" s="2">
        <v>-60000</v>
      </c>
      <c r="J10" s="2">
        <v>0</v>
      </c>
    </row>
    <row r="11">
      <c r="A11" s="2">
        <v>9</v>
      </c>
      <c r="B11" s="2" t="s">
        <v>123</v>
      </c>
      <c r="C11" s="2" t="s">
        <v>86</v>
      </c>
      <c r="D11" s="2" t="s">
        <v>124</v>
      </c>
      <c r="E11" s="2" t="s">
        <v>124</v>
      </c>
      <c r="F11" s="3">
        <v>-1250</v>
      </c>
      <c r="G11" s="2">
        <v>0</v>
      </c>
      <c r="H11" s="2">
        <v>-40000</v>
      </c>
      <c r="I11" s="2">
        <v>-60000</v>
      </c>
      <c r="J11" s="2">
        <v>0</v>
      </c>
    </row>
    <row r="12">
      <c r="A12" s="2">
        <v>10</v>
      </c>
      <c r="B12" s="2" t="s">
        <v>125</v>
      </c>
      <c r="C12" s="2" t="s">
        <v>86</v>
      </c>
      <c r="D12" s="2">
        <v>42427038754</v>
      </c>
      <c r="E12" s="2" t="s">
        <v>130</v>
      </c>
      <c r="F12" s="3">
        <v>-1250</v>
      </c>
      <c r="G12" s="2">
        <v>0</v>
      </c>
      <c r="H12" s="2">
        <v>-40000</v>
      </c>
      <c r="I12" s="2">
        <v>-60000</v>
      </c>
      <c r="J12" s="2">
        <v>0</v>
      </c>
    </row>
    <row r="13">
      <c r="A13" s="2">
        <v>11</v>
      </c>
      <c r="B13" s="2" t="s">
        <v>123</v>
      </c>
      <c r="C13" s="2" t="s">
        <v>88</v>
      </c>
      <c r="D13" s="2" t="s">
        <v>124</v>
      </c>
      <c r="E13" s="2" t="s">
        <v>124</v>
      </c>
      <c r="F13" s="3">
        <v>-1250</v>
      </c>
      <c r="G13" s="2">
        <v>-40000</v>
      </c>
      <c r="H13" s="2">
        <v>0</v>
      </c>
      <c r="I13" s="2">
        <v>-60000</v>
      </c>
      <c r="J13" s="2">
        <v>0</v>
      </c>
    </row>
    <row r="14">
      <c r="A14" s="2">
        <v>12</v>
      </c>
      <c r="B14" s="2" t="s">
        <v>125</v>
      </c>
      <c r="C14" s="2" t="s">
        <v>88</v>
      </c>
      <c r="D14" s="2">
        <v>52859294246</v>
      </c>
      <c r="E14" s="2" t="s">
        <v>129</v>
      </c>
      <c r="F14" s="3">
        <v>-1250</v>
      </c>
      <c r="G14" s="2">
        <v>-40000</v>
      </c>
      <c r="H14" s="2">
        <v>0</v>
      </c>
      <c r="I14" s="2">
        <v>-60000</v>
      </c>
      <c r="J14" s="2">
        <v>0</v>
      </c>
    </row>
    <row r="15">
      <c r="A15" s="2">
        <v>13</v>
      </c>
      <c r="B15" s="2" t="s">
        <v>123</v>
      </c>
      <c r="C15" s="2" t="s">
        <v>91</v>
      </c>
      <c r="D15" s="2" t="s">
        <v>124</v>
      </c>
      <c r="E15" s="2" t="s">
        <v>124</v>
      </c>
      <c r="F15" s="3">
        <v>-1250</v>
      </c>
      <c r="G15" s="2">
        <v>0</v>
      </c>
      <c r="H15" s="2">
        <v>-40000</v>
      </c>
      <c r="I15" s="2">
        <v>-60000</v>
      </c>
      <c r="J15" s="2">
        <v>0</v>
      </c>
    </row>
    <row r="16">
      <c r="A16" s="2">
        <v>14</v>
      </c>
      <c r="B16" s="2" t="s">
        <v>125</v>
      </c>
      <c r="C16" s="2" t="s">
        <v>91</v>
      </c>
      <c r="D16" s="2">
        <v>26972809216</v>
      </c>
      <c r="E16" s="2" t="s">
        <v>131</v>
      </c>
      <c r="F16" s="3">
        <v>-1250</v>
      </c>
      <c r="G16" s="2">
        <v>0</v>
      </c>
      <c r="H16" s="2">
        <v>-40000</v>
      </c>
      <c r="I16" s="2">
        <v>-60000</v>
      </c>
      <c r="J16" s="2">
        <v>0</v>
      </c>
    </row>
    <row r="17">
      <c r="A17" s="2">
        <v>15</v>
      </c>
      <c r="B17" s="2" t="s">
        <v>123</v>
      </c>
      <c r="C17" s="2" t="s">
        <v>93</v>
      </c>
      <c r="D17" s="2" t="s">
        <v>124</v>
      </c>
      <c r="E17" s="2" t="s">
        <v>124</v>
      </c>
      <c r="F17" s="3">
        <v>-1250</v>
      </c>
      <c r="G17" s="2">
        <v>-40000</v>
      </c>
      <c r="H17" s="2">
        <v>0</v>
      </c>
      <c r="I17" s="2">
        <v>-60000</v>
      </c>
      <c r="J17" s="2">
        <v>0</v>
      </c>
    </row>
    <row r="18">
      <c r="A18" s="2">
        <v>16</v>
      </c>
      <c r="B18" s="2" t="s">
        <v>125</v>
      </c>
      <c r="C18" s="2" t="s">
        <v>93</v>
      </c>
      <c r="D18" s="2">
        <v>49104619155</v>
      </c>
      <c r="E18" s="2" t="s">
        <v>132</v>
      </c>
      <c r="F18" s="3">
        <v>-1250</v>
      </c>
      <c r="G18" s="2">
        <v>-40000</v>
      </c>
      <c r="H18" s="2">
        <v>0</v>
      </c>
      <c r="I18" s="2">
        <v>-60000</v>
      </c>
      <c r="J18" s="2">
        <v>0</v>
      </c>
    </row>
    <row r="19">
      <c r="A19" s="2">
        <v>17</v>
      </c>
      <c r="B19" s="2" t="s">
        <v>123</v>
      </c>
      <c r="C19" s="2" t="s">
        <v>95</v>
      </c>
      <c r="D19" s="2" t="s">
        <v>124</v>
      </c>
      <c r="E19" s="2" t="s">
        <v>124</v>
      </c>
      <c r="F19" s="3">
        <v>-1250</v>
      </c>
      <c r="G19" s="2">
        <v>-40000</v>
      </c>
      <c r="H19" s="2">
        <v>0</v>
      </c>
      <c r="I19" s="2">
        <v>-60000</v>
      </c>
      <c r="J19" s="2">
        <v>0</v>
      </c>
    </row>
    <row r="20">
      <c r="A20" s="2">
        <v>18</v>
      </c>
      <c r="B20" s="2" t="s">
        <v>125</v>
      </c>
      <c r="C20" s="2" t="s">
        <v>95</v>
      </c>
      <c r="D20" s="2">
        <v>25763098162</v>
      </c>
      <c r="E20" s="2" t="s">
        <v>133</v>
      </c>
      <c r="F20" s="3">
        <v>-1250</v>
      </c>
      <c r="G20" s="2">
        <v>-40000</v>
      </c>
      <c r="H20" s="2">
        <v>0</v>
      </c>
      <c r="I20" s="2">
        <v>-60000</v>
      </c>
      <c r="J20" s="2">
        <v>0</v>
      </c>
    </row>
    <row r="21">
      <c r="A21" s="2">
        <v>19</v>
      </c>
      <c r="B21" s="2" t="s">
        <v>123</v>
      </c>
      <c r="C21" s="2" t="s">
        <v>98</v>
      </c>
      <c r="D21" s="2" t="s">
        <v>124</v>
      </c>
      <c r="E21" s="2" t="s">
        <v>124</v>
      </c>
      <c r="F21" s="3">
        <v>-1250</v>
      </c>
      <c r="G21" s="2">
        <v>-40000</v>
      </c>
      <c r="H21" s="2">
        <v>0</v>
      </c>
      <c r="I21" s="2">
        <v>-60000</v>
      </c>
      <c r="J21" s="2">
        <v>0</v>
      </c>
    </row>
    <row r="22">
      <c r="A22" s="2">
        <v>20</v>
      </c>
      <c r="B22" s="2" t="s">
        <v>125</v>
      </c>
      <c r="C22" s="2" t="s">
        <v>98</v>
      </c>
      <c r="D22" s="2">
        <v>51703311511</v>
      </c>
      <c r="E22" s="2" t="s">
        <v>128</v>
      </c>
      <c r="F22" s="3">
        <v>-1250</v>
      </c>
      <c r="G22" s="2">
        <v>-40000</v>
      </c>
      <c r="H22" s="2">
        <v>0</v>
      </c>
      <c r="I22" s="2">
        <v>-60000</v>
      </c>
      <c r="J22" s="2">
        <v>0</v>
      </c>
    </row>
    <row r="23">
      <c r="A23" s="2">
        <v>21</v>
      </c>
      <c r="B23" s="2" t="s">
        <v>123</v>
      </c>
      <c r="C23" s="2" t="s">
        <v>62</v>
      </c>
      <c r="D23" s="2" t="s">
        <v>124</v>
      </c>
      <c r="E23" s="2" t="s">
        <v>124</v>
      </c>
      <c r="F23" s="3">
        <v>-1250</v>
      </c>
      <c r="G23" s="2">
        <v>-40000</v>
      </c>
      <c r="H23" s="2">
        <v>0</v>
      </c>
      <c r="I23" s="2">
        <v>-60000</v>
      </c>
      <c r="J23" s="2">
        <v>0</v>
      </c>
    </row>
    <row r="24">
      <c r="A24" s="2">
        <v>22</v>
      </c>
      <c r="B24" s="2" t="s">
        <v>125</v>
      </c>
      <c r="C24" s="2" t="s">
        <v>62</v>
      </c>
      <c r="D24" s="2">
        <v>52953850745</v>
      </c>
      <c r="E24" s="2" t="s">
        <v>134</v>
      </c>
      <c r="F24" s="3">
        <v>-1250</v>
      </c>
      <c r="G24" s="2">
        <v>-40000</v>
      </c>
      <c r="H24" s="2">
        <v>0</v>
      </c>
      <c r="I24" s="2">
        <v>-60000</v>
      </c>
      <c r="J24" s="2">
        <v>0</v>
      </c>
    </row>
    <row r="25">
      <c r="A25" s="2">
        <v>23</v>
      </c>
      <c r="B25" s="2" t="s">
        <v>123</v>
      </c>
      <c r="C25" s="2" t="s">
        <v>66</v>
      </c>
      <c r="D25" s="2" t="s">
        <v>124</v>
      </c>
      <c r="E25" s="2" t="s">
        <v>124</v>
      </c>
      <c r="F25" s="3">
        <v>-1250</v>
      </c>
      <c r="G25" s="2">
        <v>-40000</v>
      </c>
      <c r="H25" s="2">
        <v>0</v>
      </c>
      <c r="I25" s="2">
        <v>-60000</v>
      </c>
      <c r="J25" s="2">
        <v>0</v>
      </c>
    </row>
    <row r="26">
      <c r="A26" s="2">
        <v>24</v>
      </c>
      <c r="B26" s="2" t="s">
        <v>125</v>
      </c>
      <c r="C26" s="2" t="s">
        <v>66</v>
      </c>
      <c r="D26" s="2">
        <v>52354759724</v>
      </c>
      <c r="E26" s="2" t="s">
        <v>135</v>
      </c>
      <c r="F26" s="3">
        <v>-1250</v>
      </c>
      <c r="G26" s="2">
        <v>-40000</v>
      </c>
      <c r="H26" s="2">
        <v>0</v>
      </c>
      <c r="I26" s="2">
        <v>-60000</v>
      </c>
      <c r="J26" s="2">
        <v>0</v>
      </c>
    </row>
    <row r="27">
      <c r="A27" s="2">
        <v>25</v>
      </c>
      <c r="B27" s="2" t="s">
        <v>123</v>
      </c>
      <c r="C27" s="2" t="s">
        <v>70</v>
      </c>
      <c r="D27" s="2" t="s">
        <v>124</v>
      </c>
      <c r="E27" s="2" t="s">
        <v>124</v>
      </c>
      <c r="F27" s="3">
        <v>-1250</v>
      </c>
      <c r="G27" s="2">
        <v>-40000</v>
      </c>
      <c r="H27" s="2">
        <v>0</v>
      </c>
      <c r="I27" s="2">
        <v>-60000</v>
      </c>
      <c r="J27" s="2">
        <v>0</v>
      </c>
    </row>
    <row r="28">
      <c r="A28" s="2">
        <v>26</v>
      </c>
      <c r="B28" s="2" t="s">
        <v>125</v>
      </c>
      <c r="C28" s="2" t="s">
        <v>70</v>
      </c>
      <c r="D28" s="2">
        <v>40073802040</v>
      </c>
      <c r="E28" s="2" t="s">
        <v>136</v>
      </c>
      <c r="F28" s="3">
        <v>-1250</v>
      </c>
      <c r="G28" s="2">
        <v>-40000</v>
      </c>
      <c r="H28" s="2">
        <v>0</v>
      </c>
      <c r="I28" s="2">
        <v>-60000</v>
      </c>
      <c r="J28" s="2">
        <v>0</v>
      </c>
    </row>
    <row r="29">
      <c r="A29" s="2">
        <v>27</v>
      </c>
      <c r="B29" s="2" t="s">
        <v>123</v>
      </c>
      <c r="C29" s="2" t="s">
        <v>73</v>
      </c>
      <c r="D29" s="2" t="s">
        <v>124</v>
      </c>
      <c r="E29" s="2" t="s">
        <v>124</v>
      </c>
      <c r="F29" s="3">
        <v>-1250</v>
      </c>
      <c r="G29" s="2">
        <v>-40000</v>
      </c>
      <c r="H29" s="2">
        <v>0</v>
      </c>
      <c r="I29" s="2">
        <v>-60000</v>
      </c>
      <c r="J29" s="2">
        <v>0</v>
      </c>
    </row>
    <row r="30">
      <c r="A30" s="2">
        <v>28</v>
      </c>
      <c r="B30" s="2" t="s">
        <v>125</v>
      </c>
      <c r="C30" s="2" t="s">
        <v>73</v>
      </c>
      <c r="D30" s="2">
        <v>42354647820</v>
      </c>
      <c r="E30" s="2" t="s">
        <v>137</v>
      </c>
      <c r="F30" s="3">
        <v>-1250</v>
      </c>
      <c r="G30" s="2">
        <v>-40000</v>
      </c>
      <c r="H30" s="2">
        <v>0</v>
      </c>
      <c r="I30" s="2">
        <v>-60000</v>
      </c>
      <c r="J30" s="2">
        <v>0</v>
      </c>
    </row>
    <row r="31">
      <c r="A31" s="2">
        <v>29</v>
      </c>
      <c r="B31" s="2" t="s">
        <v>123</v>
      </c>
      <c r="C31" s="2" t="s">
        <v>50</v>
      </c>
      <c r="D31" s="2" t="s">
        <v>124</v>
      </c>
      <c r="E31" s="2" t="s">
        <v>124</v>
      </c>
      <c r="F31" s="3">
        <v>-1250</v>
      </c>
      <c r="G31" s="2">
        <v>-40000</v>
      </c>
      <c r="H31" s="2">
        <v>0</v>
      </c>
      <c r="I31" s="2">
        <v>-60000</v>
      </c>
      <c r="J31" s="2">
        <v>0</v>
      </c>
    </row>
    <row r="32">
      <c r="A32" s="2">
        <v>30</v>
      </c>
      <c r="B32" s="2" t="s">
        <v>125</v>
      </c>
      <c r="C32" s="2" t="s">
        <v>50</v>
      </c>
      <c r="D32" s="2">
        <v>52953850745</v>
      </c>
      <c r="E32" s="2" t="s">
        <v>134</v>
      </c>
      <c r="F32" s="3">
        <v>-1250</v>
      </c>
      <c r="G32" s="2">
        <v>-40000</v>
      </c>
      <c r="H32" s="2">
        <v>0</v>
      </c>
      <c r="I32" s="2">
        <v>-60000</v>
      </c>
      <c r="J32" s="2">
        <v>0</v>
      </c>
    </row>
    <row r="33">
      <c r="A33" s="2">
        <v>31</v>
      </c>
      <c r="B33" s="2" t="s">
        <v>123</v>
      </c>
      <c r="C33" s="2" t="s">
        <v>57</v>
      </c>
      <c r="D33" s="2" t="s">
        <v>124</v>
      </c>
      <c r="E33" s="2" t="s">
        <v>124</v>
      </c>
      <c r="F33" s="3">
        <v>-1250</v>
      </c>
      <c r="G33" s="2">
        <v>-40000</v>
      </c>
      <c r="H33" s="2">
        <v>0</v>
      </c>
      <c r="I33" s="2">
        <v>-60000</v>
      </c>
      <c r="J33" s="2">
        <v>-20000</v>
      </c>
    </row>
    <row r="34">
      <c r="A34" s="2">
        <v>32</v>
      </c>
      <c r="B34" s="2" t="s">
        <v>125</v>
      </c>
      <c r="C34" s="2" t="s">
        <v>57</v>
      </c>
      <c r="D34" s="2">
        <v>27611083672</v>
      </c>
      <c r="E34" s="2" t="s">
        <v>138</v>
      </c>
      <c r="F34" s="3">
        <v>-1250</v>
      </c>
      <c r="G34" s="2">
        <v>-40000</v>
      </c>
      <c r="H34" s="2">
        <v>0</v>
      </c>
      <c r="I34" s="2">
        <v>-60000</v>
      </c>
      <c r="J34" s="2">
        <v>-20000</v>
      </c>
    </row>
    <row r="35"/>
    <row r="36"/>
    <row r="37">
      <c r="A37" s="1" t="s"/>
      <c r="B37" s="1" t="s"/>
      <c r="C37" s="1" t="s"/>
      <c r="D37" s="1" t="s"/>
      <c r="E37" s="1" t="s"/>
      <c r="F37" s="1" t="s"/>
      <c r="G37" s="1" t="s"/>
      <c r="H37" s="3" t="s"/>
      <c r="I37" s="3" t="s"/>
    </row>
    <row r="38">
      <c r="A38" s="1" t="s"/>
      <c r="B38" s="1" t="s"/>
      <c r="C38" s="1" t="s"/>
      <c r="D38" s="1" t="s"/>
      <c r="E38" s="1" t="s"/>
      <c r="F38" s="1" t="s"/>
      <c r="G38" s="1" t="s"/>
      <c r="H38" s="3" t="s"/>
      <c r="I38" s="3" t="s"/>
    </row>
    <row r="39">
      <c r="A39" s="1" t="s"/>
      <c r="B39" s="1" t="s"/>
      <c r="C39" s="1" t="s"/>
      <c r="D39" s="1" t="s"/>
      <c r="E39" s="1" t="s"/>
      <c r="F39" s="1" t="s"/>
      <c r="G39" s="1" t="s"/>
      <c r="H39" s="3" t="s"/>
      <c r="I39" s="3" t="s"/>
      <c r="J39" s="3" t="s"/>
    </row>
    <row r="40">
      <c r="A40" s="1" t="s"/>
      <c r="B40" s="1" t="s"/>
      <c r="C40" s="1" t="s"/>
      <c r="D40" s="1" t="s"/>
      <c r="E40" s="1" t="s"/>
      <c r="F40" s="1" t="s"/>
      <c r="G40" s="1" t="s"/>
      <c r="H40" s="3" t="s"/>
      <c r="I40" s="3" t="s"/>
      <c r="J40" s="3" t="s"/>
    </row>
    <row r="41">
      <c r="A41" s="1" t="s"/>
      <c r="B41" s="1" t="s"/>
      <c r="C41" s="1" t="s"/>
      <c r="D41" s="1" t="s"/>
      <c r="E41" s="1" t="s"/>
      <c r="F41" s="1" t="s"/>
      <c r="G41" s="1" t="s"/>
      <c r="H41" s="1" t="s"/>
      <c r="I41" s="3" t="s"/>
      <c r="J41" s="3" t="s"/>
    </row>
    <row r="42">
      <c r="A42" s="1" t="s"/>
      <c r="B42" s="1" t="s"/>
      <c r="C42" s="1" t="s"/>
      <c r="D42" s="1" t="s"/>
      <c r="E42" s="1" t="s"/>
      <c r="F42" s="1" t="s"/>
      <c r="G42" s="1" t="s"/>
      <c r="H42" s="1" t="s"/>
      <c r="I42" s="3" t="s"/>
      <c r="J42" s="3" t="s"/>
    </row>
  </sheetData>
  <mergeCells count="1">
    <mergeCell ref="G1:J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